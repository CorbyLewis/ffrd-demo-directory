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FFRD - SOP Dec Delivery\FFRD SOP - Version 1 - Dec2025 Draft\Volume II - Technical Standards and Procedures\Appendix F Tools\"/>
    </mc:Choice>
  </mc:AlternateContent>
  <xr:revisionPtr revIDLastSave="0" documentId="13_ncr:1_{A7CA7469-9CC6-4195-821E-447819CCE4C0}" xr6:coauthVersionLast="47" xr6:coauthVersionMax="47" xr10:uidLastSave="{00000000-0000-0000-0000-000000000000}"/>
  <bookViews>
    <workbookView xWindow="-120" yWindow="-90" windowWidth="29040" windowHeight="15690" tabRatio="830" xr2:uid="{00000000-000D-0000-FFFF-FFFF00000000}"/>
  </bookViews>
  <sheets>
    <sheet name="Dam Regression Equations" sheetId="8" r:id="rId1"/>
    <sheet name="References" sheetId="7" r:id="rId2"/>
    <sheet name="Filtered Data &amp; Plots" sheetId="31" r:id="rId3"/>
    <sheet name="Data Sources" sheetId="30" r:id="rId4"/>
    <sheet name="Dam Failure Case Study Data" sheetId="15" r:id="rId5"/>
  </sheets>
  <definedNames>
    <definedName name="__123Graph_XCHART1" hidden="1">#REF!</definedName>
    <definedName name="_xlnm._FilterDatabase" localSheetId="4" hidden="1">'Dam Failure Case Study Data'!$A$3:$AF$115</definedName>
    <definedName name="_Order1" hidden="1">255</definedName>
    <definedName name="FAILURE_DATA">#REF!</definedName>
  </definedNames>
  <calcPr calcId="191028"/>
  <customWorkbookViews>
    <customWorkbookView name="Cameron Ackerman - Personal View" guid="{9848CDF3-FB2E-4554-B4A7-C95534E565E0}" mergeInterval="0" personalView="1" maximized="1" xWindow="1" yWindow="1" windowWidth="1408" windowHeight="741"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8" l="1"/>
  <c r="C9" i="8" l="1"/>
  <c r="C11" i="8" s="1"/>
  <c r="E11" i="8" s="1"/>
  <c r="C7" i="8"/>
  <c r="C6" i="8"/>
  <c r="E14" i="8" l="1"/>
  <c r="C27" i="8"/>
  <c r="AM84" i="31" l="1"/>
  <c r="AL84" i="31"/>
  <c r="AK84" i="31"/>
  <c r="AM83" i="31"/>
  <c r="AL83" i="31"/>
  <c r="AK83" i="31"/>
  <c r="AN82" i="31"/>
  <c r="AM82" i="31"/>
  <c r="AL82" i="31"/>
  <c r="AK82" i="31"/>
  <c r="AM81" i="31"/>
  <c r="AL81" i="31"/>
  <c r="AK81" i="31"/>
  <c r="AM80" i="31"/>
  <c r="AL80" i="31"/>
  <c r="AK80" i="31"/>
  <c r="AM79" i="31"/>
  <c r="AL79" i="31"/>
  <c r="AK79" i="31"/>
  <c r="AN78" i="31"/>
  <c r="AM78" i="31"/>
  <c r="AL78" i="31"/>
  <c r="AK78" i="31"/>
  <c r="AM77" i="31"/>
  <c r="AL77" i="31"/>
  <c r="AK77" i="31"/>
  <c r="AM76" i="31"/>
  <c r="AL76" i="31"/>
  <c r="AK76" i="31"/>
  <c r="AM75" i="31"/>
  <c r="AL75" i="31"/>
  <c r="AK75" i="31"/>
  <c r="AM74" i="31"/>
  <c r="AL74" i="31"/>
  <c r="AK74" i="31"/>
  <c r="AM73" i="31"/>
  <c r="AL73" i="31"/>
  <c r="AK73" i="31"/>
  <c r="AM72" i="31"/>
  <c r="AL72" i="31"/>
  <c r="AK72" i="31"/>
  <c r="AN71" i="31"/>
  <c r="AM71" i="31"/>
  <c r="AL71" i="31"/>
  <c r="AK71" i="31"/>
  <c r="AM70" i="31"/>
  <c r="AL70" i="31"/>
  <c r="AK70" i="31"/>
  <c r="AM69" i="31"/>
  <c r="AL69" i="31"/>
  <c r="AK69" i="31"/>
  <c r="AM68" i="31"/>
  <c r="AL68" i="31"/>
  <c r="AK68" i="31"/>
  <c r="AM67" i="31"/>
  <c r="AL67" i="31"/>
  <c r="AK67" i="31"/>
  <c r="AN66" i="31"/>
  <c r="AM66" i="31"/>
  <c r="AL66" i="31"/>
  <c r="AK66" i="31"/>
  <c r="AN65" i="31"/>
  <c r="AM65" i="31"/>
  <c r="AL65" i="31"/>
  <c r="AK65" i="31"/>
  <c r="AM64" i="31"/>
  <c r="AL64" i="31"/>
  <c r="AK64" i="31"/>
  <c r="AN63" i="31"/>
  <c r="AM63" i="31"/>
  <c r="AL63" i="31"/>
  <c r="AK63" i="31"/>
  <c r="AM62" i="31"/>
  <c r="AL62" i="31"/>
  <c r="AK62" i="31"/>
  <c r="AN61" i="31"/>
  <c r="AM61" i="31"/>
  <c r="AL61" i="31"/>
  <c r="AK61" i="31"/>
  <c r="AM60" i="31"/>
  <c r="AL60" i="31"/>
  <c r="AK60" i="31"/>
  <c r="AM59" i="31"/>
  <c r="AL59" i="31"/>
  <c r="AK59" i="31"/>
  <c r="AM58" i="31"/>
  <c r="AL58" i="31"/>
  <c r="AK58" i="31"/>
  <c r="AM57" i="31"/>
  <c r="AL57" i="31"/>
  <c r="AK57" i="31"/>
  <c r="AM56" i="31"/>
  <c r="AL56" i="31"/>
  <c r="AK56" i="31"/>
  <c r="AM55" i="31"/>
  <c r="AL55" i="31"/>
  <c r="AK55" i="31"/>
  <c r="AN54" i="31"/>
  <c r="AM54" i="31"/>
  <c r="AL54" i="31"/>
  <c r="AK54" i="31"/>
  <c r="AN53" i="31"/>
  <c r="AM53" i="31"/>
  <c r="AL53" i="31"/>
  <c r="AK53" i="31"/>
  <c r="AM52" i="31"/>
  <c r="AL52" i="31"/>
  <c r="AK52" i="31"/>
  <c r="AN51" i="31"/>
  <c r="AM51" i="31"/>
  <c r="AL51" i="31"/>
  <c r="AK51" i="31"/>
  <c r="AM50" i="31"/>
  <c r="AL50" i="31"/>
  <c r="AK50" i="31"/>
  <c r="AM49" i="31"/>
  <c r="AL49" i="31"/>
  <c r="AK49" i="31"/>
  <c r="AM48" i="31"/>
  <c r="AL48" i="31"/>
  <c r="AK48" i="31"/>
  <c r="AM47" i="31"/>
  <c r="AL47" i="31"/>
  <c r="AK47" i="31"/>
  <c r="AM46" i="31"/>
  <c r="AL46" i="31"/>
  <c r="AK46" i="31"/>
  <c r="AM45" i="31"/>
  <c r="AL45" i="31"/>
  <c r="AK45" i="31"/>
  <c r="AM44" i="31"/>
  <c r="AL44" i="31"/>
  <c r="AK44" i="31"/>
  <c r="AM43" i="31"/>
  <c r="AL43" i="31"/>
  <c r="AK43" i="31"/>
  <c r="AM42" i="31"/>
  <c r="AL42" i="31"/>
  <c r="AK42" i="31"/>
  <c r="AM41" i="31"/>
  <c r="AL41" i="31"/>
  <c r="AK41" i="31"/>
  <c r="AM40" i="31"/>
  <c r="AL40" i="31"/>
  <c r="AK40" i="31"/>
  <c r="AM39" i="31"/>
  <c r="AL39" i="31"/>
  <c r="AK39" i="31"/>
  <c r="AN38" i="31"/>
  <c r="AM38" i="31"/>
  <c r="AL38" i="31"/>
  <c r="AK38" i="31"/>
  <c r="AM37" i="31"/>
  <c r="AL37" i="31"/>
  <c r="AK37" i="31"/>
  <c r="AM36" i="31"/>
  <c r="AL36" i="31"/>
  <c r="AK36" i="31"/>
  <c r="AN35" i="31"/>
  <c r="AM35" i="31"/>
  <c r="AL35" i="31"/>
  <c r="AK35" i="31"/>
  <c r="AM34" i="31"/>
  <c r="AL34" i="31"/>
  <c r="AK34" i="31"/>
  <c r="AM33" i="31"/>
  <c r="AL33" i="31"/>
  <c r="AK33" i="31"/>
  <c r="AM32" i="31"/>
  <c r="AL32" i="31"/>
  <c r="AK32" i="31"/>
  <c r="AN31" i="31"/>
  <c r="AM31" i="31"/>
  <c r="AL31" i="31"/>
  <c r="AK31" i="31"/>
  <c r="AN30" i="31"/>
  <c r="AM30" i="31"/>
  <c r="AL30" i="31"/>
  <c r="AK30" i="31"/>
  <c r="AM29" i="31"/>
  <c r="AL29" i="31"/>
  <c r="AK29" i="31"/>
  <c r="AM28" i="31"/>
  <c r="AL28" i="31"/>
  <c r="AK28" i="31"/>
  <c r="AM27" i="31"/>
  <c r="AL27" i="31"/>
  <c r="AK27" i="31"/>
  <c r="AM26" i="31"/>
  <c r="AL26" i="31"/>
  <c r="AK26" i="31"/>
  <c r="AM25" i="31"/>
  <c r="AL25" i="31"/>
  <c r="AK25" i="31"/>
  <c r="AN24" i="31"/>
  <c r="AM24" i="31"/>
  <c r="AL24" i="31"/>
  <c r="AK24" i="31"/>
  <c r="AM23" i="31"/>
  <c r="AL23" i="31"/>
  <c r="AK23" i="31"/>
  <c r="AM22" i="31"/>
  <c r="AL22" i="31"/>
  <c r="AK22" i="31"/>
  <c r="AM21" i="31"/>
  <c r="AL21" i="31"/>
  <c r="AK21" i="31"/>
  <c r="AM20" i="31"/>
  <c r="AL20" i="31"/>
  <c r="AK20" i="31"/>
  <c r="AM19" i="31"/>
  <c r="AL19" i="31"/>
  <c r="AK19" i="31"/>
  <c r="AN18" i="31"/>
  <c r="AM18" i="31"/>
  <c r="AL18" i="31"/>
  <c r="AK18" i="31"/>
  <c r="AM17" i="31"/>
  <c r="AL17" i="31"/>
  <c r="AK17" i="31"/>
  <c r="AM16" i="31"/>
  <c r="AL16" i="31"/>
  <c r="AK16" i="31"/>
  <c r="AN15" i="31"/>
  <c r="AM15" i="31"/>
  <c r="AL15" i="31"/>
  <c r="AK15" i="31"/>
  <c r="AM14" i="31"/>
  <c r="AL14" i="31"/>
  <c r="AK14" i="31"/>
  <c r="AM13" i="31"/>
  <c r="AL13" i="31"/>
  <c r="AK13" i="31"/>
  <c r="AM12" i="31"/>
  <c r="AL12" i="31"/>
  <c r="AK12" i="31"/>
  <c r="AM11" i="31"/>
  <c r="AL11" i="31"/>
  <c r="AK11" i="31"/>
  <c r="AM10" i="31"/>
  <c r="AL10" i="31"/>
  <c r="AK10" i="31"/>
  <c r="AN9" i="31"/>
  <c r="AM9" i="31"/>
  <c r="AL9" i="31"/>
  <c r="AK9" i="31"/>
  <c r="AN8" i="31"/>
  <c r="AM8" i="31"/>
  <c r="AL8" i="31"/>
  <c r="AK8" i="31"/>
  <c r="C34" i="8" l="1"/>
  <c r="C35" i="8"/>
  <c r="C28" i="8"/>
  <c r="C41" i="8"/>
  <c r="H52" i="8"/>
  <c r="H51" i="8"/>
  <c r="H50" i="8"/>
  <c r="H49" i="8"/>
  <c r="E42" i="8"/>
  <c r="E15" i="8"/>
  <c r="E13" i="8"/>
  <c r="C12" i="8"/>
  <c r="E10" i="8"/>
  <c r="E9" i="8"/>
  <c r="E8" i="8"/>
  <c r="E7" i="8"/>
  <c r="E12" i="8" l="1"/>
  <c r="M16" i="8"/>
  <c r="N16" i="8"/>
  <c r="C46" i="8"/>
  <c r="E31" i="8"/>
  <c r="C31" i="8" s="1"/>
  <c r="E38" i="8"/>
  <c r="C38" i="8" s="1"/>
  <c r="M24" i="8" s="1"/>
  <c r="E36" i="8"/>
  <c r="E37" i="8" s="1"/>
  <c r="C37" i="8" s="1"/>
  <c r="C43" i="8"/>
  <c r="H43" i="8" s="1"/>
  <c r="H44" i="8" s="1"/>
  <c r="E41" i="8"/>
  <c r="E29" i="8"/>
  <c r="M23" i="8" l="1"/>
  <c r="E46" i="8"/>
  <c r="E45" i="8"/>
  <c r="C45" i="8" s="1"/>
  <c r="M26" i="8"/>
  <c r="O26" i="8" s="1"/>
  <c r="C36" i="8"/>
  <c r="O24" i="8" s="1"/>
  <c r="E43" i="8"/>
  <c r="E44" i="8" s="1"/>
  <c r="E22" i="8"/>
  <c r="C44" i="8"/>
  <c r="L25" i="8" s="1"/>
  <c r="L24" i="8"/>
  <c r="E30" i="8"/>
  <c r="C30" i="8" s="1"/>
  <c r="C29" i="8"/>
  <c r="H36" i="8" l="1"/>
  <c r="H37" i="8" s="1"/>
  <c r="E24" i="8"/>
  <c r="C24" i="8" s="1"/>
  <c r="E23" i="8"/>
  <c r="C23" i="8" s="1"/>
  <c r="C22" i="8"/>
  <c r="M25" i="8"/>
  <c r="O25" i="8" s="1"/>
  <c r="L23" i="8"/>
  <c r="O23" i="8"/>
  <c r="H29" i="8"/>
  <c r="H30" i="8" s="1"/>
  <c r="M22" i="8" l="1"/>
  <c r="L22" i="8"/>
  <c r="H23" i="8"/>
  <c r="H24" i="8" s="1"/>
  <c r="H22" i="8" l="1"/>
  <c r="O2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Crosby, Wesley A CIV USARMY CEMVK (USA)</author>
    <author>Q0RMCCHS</author>
  </authors>
  <commentList>
    <comment ref="K15" authorId="0" shapeId="0" xr:uid="{C902058A-1270-4994-BAC1-F1C94A86898E}">
      <text>
        <r>
          <rPr>
            <b/>
            <sz val="9"/>
            <color indexed="10"/>
            <rFont val="Tahoma"/>
            <family val="2"/>
          </rPr>
          <t xml:space="preserve">The Corps guidelines shown in the table should be used as minimum and maximum bounds for estimating breach parameters.  However, it should be noted that dams that have very large volumes of water, and have long dam crest lengths, will continue to erode for long durations (i.e. as long as a significant amount of water is flowing through the breach), and may therefore have longer breach widths and times than what is shown in the Table. [Hydraulic Model Development for Dam Break Studies, Brunner]  The Corps Guidance was derived from a limited set of case studies and not all dams will fall between the case study limits for dam height, storage volume, embankment geology, etc.  </t>
        </r>
      </text>
    </comment>
    <comment ref="C42" authorId="1" shapeId="0" xr:uid="{00000000-0006-0000-0000-000001000000}">
      <text>
        <r>
          <rPr>
            <sz val="9"/>
            <color indexed="10"/>
            <rFont val="Tahoma"/>
            <family val="2"/>
          </rPr>
          <t>H:1V  Slopes: 1.0 ; 0.5-0.33 for cohesive soils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Corby Lewis</author>
  </authors>
  <commentList>
    <comment ref="BG43" authorId="0" shapeId="0" xr:uid="{00000000-0006-0000-0800-000001000000}">
      <text>
        <r>
          <rPr>
            <b/>
            <sz val="9"/>
            <color indexed="81"/>
            <rFont val="Tahoma"/>
            <family val="2"/>
          </rPr>
          <t>assumes 
C = 5m
Z1=Z2=3</t>
        </r>
      </text>
    </comment>
  </commentList>
</comments>
</file>

<file path=xl/sharedStrings.xml><?xml version="1.0" encoding="utf-8"?>
<sst xmlns="http://schemas.openxmlformats.org/spreadsheetml/2006/main" count="1412" uniqueCount="592">
  <si>
    <t>Notes:</t>
  </si>
  <si>
    <t>Vertical Datum =</t>
  </si>
  <si>
    <t>NAVD 88</t>
  </si>
  <si>
    <t>Vertical Datum of Elevations; Use NAVD 88 for CONUS</t>
  </si>
  <si>
    <t>=Information only</t>
  </si>
  <si>
    <t>Dam Type</t>
  </si>
  <si>
    <t>Failure Mode</t>
  </si>
  <si>
    <t>=Data Entry used in Computation (ft)</t>
  </si>
  <si>
    <t>Earthfill</t>
  </si>
  <si>
    <t>Overtopping</t>
  </si>
  <si>
    <t>Embankment Top Length =</t>
  </si>
  <si>
    <t>ft</t>
  </si>
  <si>
    <t>Length along top of dam or breach embankment</t>
  </si>
  <si>
    <t>=Data Entry used in Computation (m) (gets data from ft data entry)</t>
  </si>
  <si>
    <t>Earthfill w/ clay core or rockfill</t>
  </si>
  <si>
    <t>Piping</t>
  </si>
  <si>
    <t>Top of Dam Elev. =</t>
  </si>
  <si>
    <t>Elevation of lowest point along dam crest</t>
  </si>
  <si>
    <t>=Intermediate Computed Value</t>
  </si>
  <si>
    <t>Max Dam Height =</t>
  </si>
  <si>
    <t>Height of the dam (not elevation)</t>
  </si>
  <si>
    <t>=Computed Value (m)</t>
  </si>
  <si>
    <t>Pool Elev.  =</t>
  </si>
  <si>
    <t>m</t>
  </si>
  <si>
    <t>Pool for which breach size is set; for FFRD set as Top of Dam</t>
  </si>
  <si>
    <t>=Computed Value (ft) for entry in RAS</t>
  </si>
  <si>
    <t>Channel Invert Elev.  =</t>
  </si>
  <si>
    <t>Min downstream channel elevation from terrain/bathy (in cell touching dam)</t>
  </si>
  <si>
    <t>Breach Invert Elev. =</t>
  </si>
  <si>
    <t>Set to minimum Invert plus 0.5 feet</t>
  </si>
  <si>
    <r>
      <t>B</t>
    </r>
    <r>
      <rPr>
        <vertAlign val="subscript"/>
        <sz val="10"/>
        <rFont val="Arial"/>
        <family val="2"/>
      </rPr>
      <t>ave</t>
    </r>
    <r>
      <rPr>
        <sz val="10"/>
        <rFont val="Arial"/>
        <family val="2"/>
      </rPr>
      <t xml:space="preserve">  =</t>
    </r>
  </si>
  <si>
    <t>Average width of breach</t>
  </si>
  <si>
    <t>Volume @ Pool Elev.  =</t>
  </si>
  <si>
    <t>ac-ft</t>
  </si>
  <si>
    <r>
      <t>m</t>
    </r>
    <r>
      <rPr>
        <b/>
        <vertAlign val="superscript"/>
        <sz val="10"/>
        <rFont val="Arial"/>
        <family val="2"/>
      </rPr>
      <t>3</t>
    </r>
  </si>
  <si>
    <t>Volume of the pool located between top of dam and Channel Invert</t>
  </si>
  <si>
    <r>
      <t>t</t>
    </r>
    <r>
      <rPr>
        <vertAlign val="subscript"/>
        <sz val="10"/>
        <rFont val="Arial"/>
        <family val="2"/>
      </rPr>
      <t>f</t>
    </r>
    <r>
      <rPr>
        <sz val="10"/>
        <rFont val="Arial"/>
        <family val="2"/>
      </rPr>
      <t xml:space="preserve">  =</t>
    </r>
  </si>
  <si>
    <t>Formation time of breach</t>
  </si>
  <si>
    <r>
      <t>h</t>
    </r>
    <r>
      <rPr>
        <vertAlign val="subscript"/>
        <sz val="10"/>
        <rFont val="Arial"/>
        <family val="2"/>
      </rPr>
      <t>w</t>
    </r>
    <r>
      <rPr>
        <sz val="10"/>
        <rFont val="Arial"/>
        <family val="2"/>
      </rPr>
      <t xml:space="preserve">  =</t>
    </r>
  </si>
  <si>
    <t>depth of water above bottom of breach</t>
  </si>
  <si>
    <r>
      <t>W</t>
    </r>
    <r>
      <rPr>
        <vertAlign val="subscript"/>
        <sz val="10"/>
        <rFont val="Arial"/>
        <family val="2"/>
      </rPr>
      <t>b</t>
    </r>
    <r>
      <rPr>
        <sz val="10"/>
        <rFont val="Arial"/>
        <family val="2"/>
      </rPr>
      <t xml:space="preserve">  =</t>
    </r>
  </si>
  <si>
    <t>Bottom width of breach</t>
  </si>
  <si>
    <r>
      <t>h</t>
    </r>
    <r>
      <rPr>
        <vertAlign val="subscript"/>
        <sz val="10"/>
        <rFont val="Arial"/>
        <family val="2"/>
      </rPr>
      <t>b</t>
    </r>
    <r>
      <rPr>
        <sz val="10"/>
        <rFont val="Arial"/>
        <family val="2"/>
      </rPr>
      <t xml:space="preserve">  =</t>
    </r>
  </si>
  <si>
    <t>Height from top of dam to bottom of breach</t>
  </si>
  <si>
    <r>
      <t>B</t>
    </r>
    <r>
      <rPr>
        <vertAlign val="subscript"/>
        <sz val="10"/>
        <rFont val="Arial"/>
        <family val="2"/>
      </rPr>
      <t>t</t>
    </r>
    <r>
      <rPr>
        <sz val="10"/>
        <rFont val="Arial"/>
        <family val="2"/>
      </rPr>
      <t xml:space="preserve"> =</t>
    </r>
  </si>
  <si>
    <t>Top Width of breach</t>
  </si>
  <si>
    <t>Dam Crest Width,  C  =</t>
  </si>
  <si>
    <t>Width of dam crest, Upstream to Downstream</t>
  </si>
  <si>
    <t>U/S SS  =</t>
  </si>
  <si>
    <t xml:space="preserve">U/S SS = </t>
  </si>
  <si>
    <t>Upstream dam face side slope (?H:1V)</t>
  </si>
  <si>
    <t>D/S SS  =</t>
  </si>
  <si>
    <t xml:space="preserve">D/S SS = </t>
  </si>
  <si>
    <t>Downstream dam face side slope (?H:1V)</t>
  </si>
  <si>
    <t>USACE Guidance</t>
  </si>
  <si>
    <t>0.5*HD</t>
  </si>
  <si>
    <t>5*HD</t>
  </si>
  <si>
    <t>Failure Type</t>
  </si>
  <si>
    <t>Failure Mode (Piping should be used for FFRD)</t>
  </si>
  <si>
    <r>
      <t>B</t>
    </r>
    <r>
      <rPr>
        <vertAlign val="subscript"/>
        <sz val="10"/>
        <rFont val="Arial"/>
        <family val="2"/>
      </rPr>
      <t>ave</t>
    </r>
    <r>
      <rPr>
        <sz val="10"/>
        <rFont val="Arial"/>
        <family val="2"/>
      </rPr>
      <t xml:space="preserve">   =</t>
    </r>
  </si>
  <si>
    <t>(0.5 to 5.0)*HD</t>
  </si>
  <si>
    <t>Dam Type =</t>
  </si>
  <si>
    <t xml:space="preserve">Use Closest Dam Type </t>
  </si>
  <si>
    <t>0.1 to 4.0*</t>
  </si>
  <si>
    <t>MacDonald and Langridge-Monopolis (1984)</t>
  </si>
  <si>
    <t>Summary of Methods</t>
  </si>
  <si>
    <t>* envelope equation (tend to give high estimates)</t>
  </si>
  <si>
    <t xml:space="preserve">Note:  The MLM equation uses volume thru the breach in its equation but for simplicity, the volume at time of failure was used.  As a result, if significant volume passes through the spillway, the volume used in the calculation may be a little high. </t>
  </si>
  <si>
    <t>Method</t>
  </si>
  <si>
    <t>Bottom Width (ft)</t>
  </si>
  <si>
    <t>Time (Hrs)</t>
  </si>
  <si>
    <t>Within Agency Ranges?</t>
  </si>
  <si>
    <r>
      <t>V</t>
    </r>
    <r>
      <rPr>
        <vertAlign val="subscript"/>
        <sz val="10"/>
        <rFont val="Arial"/>
        <family val="2"/>
      </rPr>
      <t>eroded</t>
    </r>
    <r>
      <rPr>
        <sz val="10"/>
        <rFont val="Arial"/>
        <family val="2"/>
      </rPr>
      <t xml:space="preserve">   =</t>
    </r>
  </si>
  <si>
    <t>slopes: 0.5</t>
  </si>
  <si>
    <r>
      <t>B</t>
    </r>
    <r>
      <rPr>
        <vertAlign val="subscript"/>
        <sz val="10"/>
        <rFont val="Arial"/>
        <family val="2"/>
      </rPr>
      <t>ave</t>
    </r>
  </si>
  <si>
    <t>MLM</t>
  </si>
  <si>
    <t>hrs</t>
  </si>
  <si>
    <r>
      <t>B</t>
    </r>
    <r>
      <rPr>
        <vertAlign val="subscript"/>
        <sz val="10"/>
        <rFont val="Arial"/>
        <family val="2"/>
      </rPr>
      <t xml:space="preserve">t = </t>
    </r>
    <r>
      <rPr>
        <sz val="10"/>
        <rFont val="Arial"/>
        <family val="2"/>
      </rPr>
      <t>Top Width (ft)</t>
    </r>
  </si>
  <si>
    <t>Froelich (1995b)</t>
  </si>
  <si>
    <t>Fits within embankment?</t>
  </si>
  <si>
    <t>Froelich (2008)</t>
  </si>
  <si>
    <t>VTG</t>
  </si>
  <si>
    <t>erosion resistant</t>
  </si>
  <si>
    <t>Froehlich (1995b)</t>
  </si>
  <si>
    <t>easily erodible</t>
  </si>
  <si>
    <r>
      <t>K</t>
    </r>
    <r>
      <rPr>
        <vertAlign val="subscript"/>
        <sz val="10"/>
        <rFont val="Arial"/>
        <family val="2"/>
      </rPr>
      <t>o</t>
    </r>
    <r>
      <rPr>
        <sz val="10"/>
        <rFont val="Arial"/>
        <family val="2"/>
      </rPr>
      <t xml:space="preserve"> =</t>
    </r>
  </si>
  <si>
    <t>Constant (1.4 for overtopping failures, 1.0 for piping). FFRD uses piping</t>
  </si>
  <si>
    <t>Side Slope =</t>
  </si>
  <si>
    <t>H:1V  Slopes: 1.4 overtopping; 0.9 piping- FFRD uses piping</t>
  </si>
  <si>
    <t>Froehlich (2008)</t>
  </si>
  <si>
    <t>Constant (1.3 for overtopping failures, 1.0 for piping). FFRD uses piping.</t>
  </si>
  <si>
    <t>H:1V  Slopes: 1.0 overtopping; 0.7 piping. FFRD uses piping</t>
  </si>
  <si>
    <t>Von Thun &amp; Gillette</t>
  </si>
  <si>
    <r>
      <t>C</t>
    </r>
    <r>
      <rPr>
        <vertAlign val="subscript"/>
        <sz val="10"/>
        <rFont val="Arial"/>
        <family val="2"/>
      </rPr>
      <t>B</t>
    </r>
    <r>
      <rPr>
        <sz val="10"/>
        <rFont val="Arial"/>
        <family val="2"/>
      </rPr>
      <t xml:space="preserve"> =</t>
    </r>
  </si>
  <si>
    <r>
      <rPr>
        <b/>
        <sz val="10"/>
        <rFont val="Arial"/>
        <family val="2"/>
      </rPr>
      <t>m</t>
    </r>
    <r>
      <rPr>
        <sz val="10"/>
        <rFont val="Arial"/>
        <family val="2"/>
      </rPr>
      <t xml:space="preserve">    (Width based on reservoir size (See table below))</t>
    </r>
  </si>
  <si>
    <t>H:1V  Slopes: 1.0 ; 0.5-0.33 for cohesive soils</t>
  </si>
  <si>
    <r>
      <t>W</t>
    </r>
    <r>
      <rPr>
        <vertAlign val="subscript"/>
        <sz val="10"/>
        <rFont val="Arial"/>
        <family val="2"/>
      </rPr>
      <t xml:space="preserve">b_f1  </t>
    </r>
    <r>
      <rPr>
        <sz val="10"/>
        <rFont val="Arial"/>
        <family val="2"/>
      </rPr>
      <t xml:space="preserve">  =</t>
    </r>
  </si>
  <si>
    <r>
      <t>t</t>
    </r>
    <r>
      <rPr>
        <vertAlign val="subscript"/>
        <sz val="10"/>
        <rFont val="Arial"/>
        <family val="2"/>
      </rPr>
      <t>f1</t>
    </r>
    <r>
      <rPr>
        <sz val="10"/>
        <rFont val="Arial"/>
        <family val="2"/>
      </rPr>
      <t xml:space="preserve">  =</t>
    </r>
  </si>
  <si>
    <t>(erosion resistant)</t>
  </si>
  <si>
    <r>
      <t>Choose either t</t>
    </r>
    <r>
      <rPr>
        <vertAlign val="subscript"/>
        <sz val="9"/>
        <rFont val="Arial"/>
        <family val="2"/>
      </rPr>
      <t>f1</t>
    </r>
    <r>
      <rPr>
        <sz val="9"/>
        <rFont val="Arial"/>
        <family val="2"/>
      </rPr>
      <t xml:space="preserve"> or t</t>
    </r>
    <r>
      <rPr>
        <vertAlign val="subscript"/>
        <sz val="9"/>
        <rFont val="Arial"/>
        <family val="2"/>
      </rPr>
      <t xml:space="preserve">f2 </t>
    </r>
    <r>
      <rPr>
        <sz val="9"/>
        <rFont val="Arial"/>
        <family val="2"/>
      </rPr>
      <t>(do not add)</t>
    </r>
  </si>
  <si>
    <r>
      <t>t</t>
    </r>
    <r>
      <rPr>
        <vertAlign val="subscript"/>
        <sz val="10"/>
        <rFont val="Arial"/>
        <family val="2"/>
      </rPr>
      <t>f2</t>
    </r>
    <r>
      <rPr>
        <sz val="10"/>
        <rFont val="Arial"/>
        <family val="2"/>
      </rPr>
      <t xml:space="preserve">  =</t>
    </r>
  </si>
  <si>
    <t>(easily erodible)</t>
  </si>
  <si>
    <t>For FFRD use the more conservative answer for side slope unless soil type is known.</t>
  </si>
  <si>
    <t>Reservoir Size</t>
  </si>
  <si>
    <r>
      <t>C</t>
    </r>
    <r>
      <rPr>
        <vertAlign val="subscript"/>
        <sz val="10"/>
        <rFont val="Arial"/>
        <family val="2"/>
      </rPr>
      <t>B</t>
    </r>
    <r>
      <rPr>
        <sz val="10"/>
        <rFont val="Arial"/>
        <family val="2"/>
      </rPr>
      <t xml:space="preserve"> (ft)</t>
    </r>
  </si>
  <si>
    <r>
      <t>C</t>
    </r>
    <r>
      <rPr>
        <vertAlign val="subscript"/>
        <sz val="10"/>
        <rFont val="Arial"/>
        <family val="2"/>
      </rPr>
      <t xml:space="preserve">B </t>
    </r>
    <r>
      <rPr>
        <sz val="10"/>
        <rFont val="Arial"/>
        <family val="2"/>
      </rPr>
      <t>(m)</t>
    </r>
  </si>
  <si>
    <t>&lt; 1,000 ac-ft</t>
  </si>
  <si>
    <t>1,000 - 5,000 ac- ft</t>
  </si>
  <si>
    <t>5,000 - 10,000 ac- ft</t>
  </si>
  <si>
    <t>&gt; 10,000 ac-ft</t>
  </si>
  <si>
    <t>References</t>
  </si>
  <si>
    <t xml:space="preserve">
</t>
  </si>
  <si>
    <t>Explanation of the Regression Equations used for Predicting Dam Breach Parameters</t>
  </si>
  <si>
    <t>Data Source ----&gt;</t>
  </si>
  <si>
    <t>a, c, d, f</t>
  </si>
  <si>
    <t>a, c, f, g</t>
  </si>
  <si>
    <t>b, c, f, g</t>
  </si>
  <si>
    <t>a, b, c</t>
  </si>
  <si>
    <t>a</t>
  </si>
  <si>
    <t>aa</t>
  </si>
  <si>
    <t>b, c</t>
  </si>
  <si>
    <t>f</t>
  </si>
  <si>
    <t>c</t>
  </si>
  <si>
    <t>g, j</t>
  </si>
  <si>
    <t>a, aa, aaa, c</t>
  </si>
  <si>
    <t>a, aa</t>
  </si>
  <si>
    <t>a, b, c, f, aa</t>
  </si>
  <si>
    <t>b, c, f</t>
  </si>
  <si>
    <t>b, f</t>
  </si>
  <si>
    <t>a,b, aa</t>
  </si>
  <si>
    <t>Dimensionless Parameters</t>
  </si>
  <si>
    <t>DamNum</t>
  </si>
  <si>
    <t>Dam name and location</t>
  </si>
  <si>
    <t>Reference</t>
  </si>
  <si>
    <t>Year completed</t>
  </si>
  <si>
    <t>Year failed</t>
  </si>
  <si>
    <t>Failure mode</t>
  </si>
  <si>
    <t>Embankment type</t>
  </si>
  <si>
    <t>Height of dam</t>
  </si>
  <si>
    <t>Embankment width at crest</t>
  </si>
  <si>
    <t>Width of embankment at breach bottom</t>
  </si>
  <si>
    <t>Average embankment width</t>
  </si>
  <si>
    <t>Upstream Embankment Slope</t>
  </si>
  <si>
    <t>Downstream Embankment Slope</t>
  </si>
  <si>
    <t>Embankment Length</t>
  </si>
  <si>
    <t>Storage</t>
  </si>
  <si>
    <t>Reservoir surface area</t>
  </si>
  <si>
    <t>Peak outflow</t>
  </si>
  <si>
    <t>Method of determining peak outflow</t>
  </si>
  <si>
    <t>Volume of water above breach bottom at failure</t>
  </si>
  <si>
    <t>Height of water above breach bottom at failure</t>
  </si>
  <si>
    <t>Breach formation factor</t>
  </si>
  <si>
    <t>Breach shape</t>
  </si>
  <si>
    <t>Height of breach</t>
  </si>
  <si>
    <t>Top breach width</t>
  </si>
  <si>
    <t>Bottom breach width</t>
  </si>
  <si>
    <t>Avg. breach width</t>
  </si>
  <si>
    <t>Average breach side-slope factor</t>
  </si>
  <si>
    <t>Breach side slope (first)</t>
  </si>
  <si>
    <t>Breach side slope (second)</t>
  </si>
  <si>
    <t>Material removed</t>
  </si>
  <si>
    <t>Breach formation time</t>
  </si>
  <si>
    <t>Failure time</t>
  </si>
  <si>
    <t>Maximum development time</t>
  </si>
  <si>
    <t>Time to breach and empty reservoir</t>
  </si>
  <si>
    <t>Breach Width</t>
  </si>
  <si>
    <t>Volume</t>
  </si>
  <si>
    <t>Water Height</t>
  </si>
  <si>
    <t>Formation Time</t>
  </si>
  <si>
    <t>Hdam</t>
  </si>
  <si>
    <t>Wc</t>
  </si>
  <si>
    <t>Wb</t>
  </si>
  <si>
    <t>Wavg</t>
  </si>
  <si>
    <t>Zeu</t>
  </si>
  <si>
    <t>Zed</t>
  </si>
  <si>
    <t>L</t>
  </si>
  <si>
    <t>S</t>
  </si>
  <si>
    <t>A</t>
  </si>
  <si>
    <t>Qp</t>
  </si>
  <si>
    <t>Vw</t>
  </si>
  <si>
    <t>Hw</t>
  </si>
  <si>
    <t>Vw x Hw</t>
  </si>
  <si>
    <t>Hb</t>
  </si>
  <si>
    <t>Btop</t>
  </si>
  <si>
    <t>Bbottom</t>
  </si>
  <si>
    <t>Bavg</t>
  </si>
  <si>
    <t>Z</t>
  </si>
  <si>
    <t>Veroded</t>
  </si>
  <si>
    <t>t</t>
  </si>
  <si>
    <t>te</t>
  </si>
  <si>
    <t>meters</t>
  </si>
  <si>
    <t>Z horiz:1 vert</t>
  </si>
  <si>
    <t>m3</t>
  </si>
  <si>
    <t>m2</t>
  </si>
  <si>
    <t>m3/s</t>
  </si>
  <si>
    <t>m4</t>
  </si>
  <si>
    <t>shape</t>
  </si>
  <si>
    <t>(Z horiz:1 vert)</t>
  </si>
  <si>
    <t>hours</t>
  </si>
  <si>
    <t>original_sort</t>
  </si>
  <si>
    <t>dam_number</t>
  </si>
  <si>
    <t>dam_name</t>
  </si>
  <si>
    <t>reference</t>
  </si>
  <si>
    <t>year_completed</t>
  </si>
  <si>
    <t>year_failed</t>
  </si>
  <si>
    <t>failure_mode</t>
  </si>
  <si>
    <t>embankment_type</t>
  </si>
  <si>
    <t>height_of_dam</t>
  </si>
  <si>
    <t>emb_width_at_crest</t>
  </si>
  <si>
    <t>emb_width_at_bottom</t>
  </si>
  <si>
    <t>avg_emb_width</t>
  </si>
  <si>
    <t>upstream_slope</t>
  </si>
  <si>
    <t>downstream_slope</t>
  </si>
  <si>
    <t>emb_length</t>
  </si>
  <si>
    <t>storage</t>
  </si>
  <si>
    <t>surface_area</t>
  </si>
  <si>
    <t>peak_flow</t>
  </si>
  <si>
    <t>peak_method</t>
  </si>
  <si>
    <t>volume_above_breach</t>
  </si>
  <si>
    <t>depth_above_breach</t>
  </si>
  <si>
    <t>breach_formation_factor</t>
  </si>
  <si>
    <t>height_of_breach</t>
  </si>
  <si>
    <t>top_breach_width</t>
  </si>
  <si>
    <t>bottom_breach_width</t>
  </si>
  <si>
    <t>avg_breach_width</t>
  </si>
  <si>
    <t>avg_side_slope</t>
  </si>
  <si>
    <t>side_slope_1</t>
  </si>
  <si>
    <t>side_slope_2</t>
  </si>
  <si>
    <t>volume_eroded</t>
  </si>
  <si>
    <t>formation_time</t>
  </si>
  <si>
    <t>failure_time</t>
  </si>
  <si>
    <t>max_development_time</t>
  </si>
  <si>
    <t>breach_and_empty_time</t>
  </si>
  <si>
    <t>ref_string</t>
  </si>
  <si>
    <t>Apishapa, Colo.</t>
  </si>
  <si>
    <t>Best Reliable Information</t>
  </si>
  <si>
    <t>Homogeneous earthfill, fine sand</t>
  </si>
  <si>
    <t>15-min reservoir drawdown</t>
  </si>
  <si>
    <t>trapezoid</t>
  </si>
  <si>
    <t>fghijkq</t>
  </si>
  <si>
    <t>Baldwin Hills, Calif.</t>
  </si>
  <si>
    <t>Homogeneous earthfill</t>
  </si>
  <si>
    <t>triangular</t>
  </si>
  <si>
    <t>efghijkq</t>
  </si>
  <si>
    <t>Bearwallow Lake, N.C.</t>
  </si>
  <si>
    <t>Sliding</t>
  </si>
  <si>
    <t>ik</t>
  </si>
  <si>
    <t>Buckhaven No. 2, Tennessee</t>
  </si>
  <si>
    <t>k</t>
  </si>
  <si>
    <t>Buffalo Creek, W. Va.</t>
  </si>
  <si>
    <t>Seepage</t>
  </si>
  <si>
    <t>Homogeneous fill, coal waste</t>
  </si>
  <si>
    <t>slope-area measurement</t>
  </si>
  <si>
    <t>fghq</t>
  </si>
  <si>
    <t>Bullock Draw Dike, Utah</t>
  </si>
  <si>
    <t>fhik</t>
  </si>
  <si>
    <t>Butler, Arizona</t>
  </si>
  <si>
    <t>slope-area measurement 600 m downstream</t>
  </si>
  <si>
    <t>jk</t>
  </si>
  <si>
    <t>Castlewood, Colo.</t>
  </si>
  <si>
    <t>Earth/rockfill with masonry wall</t>
  </si>
  <si>
    <t>fgijkq</t>
  </si>
  <si>
    <t>Caulk Lake, Kentucky</t>
  </si>
  <si>
    <t>Piping or Sliding</t>
  </si>
  <si>
    <t>Clearwater Lake Dam, Georgia</t>
  </si>
  <si>
    <t>Coedty, England</t>
  </si>
  <si>
    <t>Earthfill with corewall</t>
  </si>
  <si>
    <t>short</t>
  </si>
  <si>
    <t>dhik</t>
  </si>
  <si>
    <t>East Fork Pond River, Kentucky</t>
  </si>
  <si>
    <t>Elk City, Okla.</t>
  </si>
  <si>
    <t>Rolled sandy clay fill with concrete corewall</t>
  </si>
  <si>
    <t>Emery, Calif.</t>
  </si>
  <si>
    <t>Fogelman, Tennessee</t>
  </si>
  <si>
    <t>Frankfurt, Germany</t>
  </si>
  <si>
    <t>unknown</t>
  </si>
  <si>
    <t>fh</t>
  </si>
  <si>
    <t>French Landing, Mich.</t>
  </si>
  <si>
    <t>1-hr reservoir drawdown</t>
  </si>
  <si>
    <t>fghijk</t>
  </si>
  <si>
    <t>Frenchman Creek, Mont.</t>
  </si>
  <si>
    <t>Goose Creek, S. Carolina</t>
  </si>
  <si>
    <t>fgh</t>
  </si>
  <si>
    <t>Grand Rapids, USA</t>
  </si>
  <si>
    <t>Earthfill with clay corewall</t>
  </si>
  <si>
    <t>dhk</t>
  </si>
  <si>
    <t>Haas Pond, Connecticut</t>
  </si>
  <si>
    <t>Hart, Mich.</t>
  </si>
  <si>
    <t>Hatchtown, Utah</t>
  </si>
  <si>
    <t>Piping or foundation defect</t>
  </si>
  <si>
    <t>Zoned earthfill</t>
  </si>
  <si>
    <t>dfghijkq</t>
  </si>
  <si>
    <t>Hell Hole, Calif.</t>
  </si>
  <si>
    <t>Rockfill</t>
  </si>
  <si>
    <t>Horse Creek, Colo.</t>
  </si>
  <si>
    <t>Homogeneous earthfill, with concrete facing</t>
  </si>
  <si>
    <t>dfik</t>
  </si>
  <si>
    <t>Hutchinson Lake Dam, Georgia</t>
  </si>
  <si>
    <t>Iowa Beef Processors, Washington</t>
  </si>
  <si>
    <t>kr</t>
  </si>
  <si>
    <t>Ireland No. 5, Colo.</t>
  </si>
  <si>
    <t>slope-area measurement "a short distance downstream "</t>
  </si>
  <si>
    <t>ijk</t>
  </si>
  <si>
    <t>Jacobs Creek, Penn.</t>
  </si>
  <si>
    <t>Johnston City, Ill.</t>
  </si>
  <si>
    <t>Johnstown (South Fork Dam, Penn.)</t>
  </si>
  <si>
    <t>Zoned earth and rockfill</t>
  </si>
  <si>
    <t>30-min reservoir drawdown</t>
  </si>
  <si>
    <t>dfgijkq</t>
  </si>
  <si>
    <t>Kelly Barnes, Ga.</t>
  </si>
  <si>
    <t>slope-area measurement 250 m downstream</t>
  </si>
  <si>
    <t>Kraftsmen's Lake Dam, Georgia</t>
  </si>
  <si>
    <t>La Fruta, Tex.</t>
  </si>
  <si>
    <t>Lake Avalon, N.M.</t>
  </si>
  <si>
    <t>hk</t>
  </si>
  <si>
    <t>Lake Frances, Calif.</t>
  </si>
  <si>
    <t>Lake Genevieve, Kentucky</t>
  </si>
  <si>
    <t>Lake Latonka, Penn.</t>
  </si>
  <si>
    <t>hik</t>
  </si>
  <si>
    <t>Lake Philema Dam, Georgia</t>
  </si>
  <si>
    <t>Lambert Lake, Tenn.</t>
  </si>
  <si>
    <t>Laurel Run, Penn.</t>
  </si>
  <si>
    <t>slope-area measurement 1.6 km downstream</t>
  </si>
  <si>
    <t>Lawn Lake, Colo.</t>
  </si>
  <si>
    <t>dam-break model</t>
  </si>
  <si>
    <t>gikq</t>
  </si>
  <si>
    <t>Lily Lake, Colo.</t>
  </si>
  <si>
    <t>slope-area measurement at unknown location</t>
  </si>
  <si>
    <t>Little Deer Creek, Utah</t>
  </si>
  <si>
    <t>Long Branch Canyon, Calif.</t>
  </si>
  <si>
    <t>Lower Latham, Colo.</t>
  </si>
  <si>
    <t>ijkp</t>
  </si>
  <si>
    <t>Lower Otay, Calif.</t>
  </si>
  <si>
    <t>Rockfill with concrete/steel corewall</t>
  </si>
  <si>
    <t>Lower Two Medicine, Mont.</t>
  </si>
  <si>
    <t>slope-area measurement 4 km downstream</t>
  </si>
  <si>
    <t>Lyman, Ariz.</t>
  </si>
  <si>
    <t>fhi</t>
  </si>
  <si>
    <t>Lynde Brook, Mass.</t>
  </si>
  <si>
    <t>fik</t>
  </si>
  <si>
    <t>Melville, Utah</t>
  </si>
  <si>
    <t>Merimac (Upper) Lake Dam, Georgia</t>
  </si>
  <si>
    <t>Mossy Lake Dam, Georgia</t>
  </si>
  <si>
    <t>Oros, Brazil</t>
  </si>
  <si>
    <t>Zoned earthfill and rockfill</t>
  </si>
  <si>
    <t>fghijkpq</t>
  </si>
  <si>
    <t>Otter Lake, Tenn.</t>
  </si>
  <si>
    <t>Pierce Reservoir, Wyo.</t>
  </si>
  <si>
    <t>Potato Hill Lake, N.C.</t>
  </si>
  <si>
    <t>Prospect, Colo.</t>
  </si>
  <si>
    <t>reservoir drawdown, unknown time period</t>
  </si>
  <si>
    <t>Quail Creek, Utah</t>
  </si>
  <si>
    <t>Rainbow Lake, Mich.</t>
  </si>
  <si>
    <t>Renegade Resort Lake, Tenn.</t>
  </si>
  <si>
    <t>Rito Manzanares, N.M.</t>
  </si>
  <si>
    <t>Salles Oliveira, Brazil</t>
  </si>
  <si>
    <t>Schaeffer, Colo.</t>
  </si>
  <si>
    <t>Earthfill with concrete corewall</t>
  </si>
  <si>
    <t>slope-area measurement 13 km downstream; twice avg outflow during 1/2 hr required to drain reservoir</t>
  </si>
  <si>
    <t>dfghikq</t>
  </si>
  <si>
    <t>Scott Farm Dam No. 2, Alberta</t>
  </si>
  <si>
    <t>Sheep Creek, USA</t>
  </si>
  <si>
    <t>Sinker Creek, USA</t>
  </si>
  <si>
    <t>Spring Lake, R.I.</t>
  </si>
  <si>
    <t>Homogeneous earthfill, clay and gravel</t>
  </si>
  <si>
    <t>Statham Lake Dam, Georgia</t>
  </si>
  <si>
    <t>Swift, Montana</t>
  </si>
  <si>
    <t>Rockfill with concrete facing</t>
  </si>
  <si>
    <t>slope-area measurement 27 km downstream</t>
  </si>
  <si>
    <t>dfgq</t>
  </si>
  <si>
    <t>Teton, Idaho</t>
  </si>
  <si>
    <t>Trial Lake, Utah</t>
  </si>
  <si>
    <t>Trout Lake, N.C.</t>
  </si>
  <si>
    <t>Upper Pond, Connecticut</t>
  </si>
  <si>
    <t>Wheatland No. 1, Wyo.</t>
  </si>
  <si>
    <t>Wilkinson Lake Dam, Georgia</t>
  </si>
  <si>
    <t>Homogeneous earthfill with corewall</t>
  </si>
  <si>
    <t>Winston, N.C.</t>
  </si>
  <si>
    <t>Earthfill with corewall; earth with rubble core</t>
  </si>
  <si>
    <t>DATA SOURCES (these are the codes that were used during early development of this spreadsheet)</t>
  </si>
  <si>
    <t>a - Froehlich, 1987   (aa - Froehlich, 1995 [18 previously uncited cases])</t>
  </si>
  <si>
    <t>aaa - Froehlich, written communication</t>
  </si>
  <si>
    <t>aq - Froehlich, 1996</t>
  </si>
  <si>
    <t>b - V. Singh &amp; Scarlatos, 1987</t>
  </si>
  <si>
    <t>c - MacDonald &amp; Langridge-Monopolis, 1984</t>
  </si>
  <si>
    <t>d - Physical and Breach Parameters for Dams with Large Storage to Height Ratios</t>
  </si>
  <si>
    <t>e - Actual and Equation Derived Dam Failure Flood Peaks</t>
  </si>
  <si>
    <t>f - K. Singh &amp; Snorasson, 1982</t>
  </si>
  <si>
    <t>g - Costa, 1985</t>
  </si>
  <si>
    <t>h - Ballentine, 1993 ASDSO</t>
  </si>
  <si>
    <t>i - SCS, 1981</t>
  </si>
  <si>
    <t>DATA SOURCES (Codes used when published)</t>
  </si>
  <si>
    <t>Babb, 1968</t>
  </si>
  <si>
    <t>b</t>
  </si>
  <si>
    <t>ICOLD, 1974</t>
  </si>
  <si>
    <t>SCS, 1981</t>
  </si>
  <si>
    <t>d</t>
  </si>
  <si>
    <t>K. Singh &amp; Snorrason, 1982</t>
  </si>
  <si>
    <t>e</t>
  </si>
  <si>
    <t>Jansen, 1983</t>
  </si>
  <si>
    <t>MacDonald &amp; Langridge-Monopolis, 1984</t>
  </si>
  <si>
    <t>g</t>
  </si>
  <si>
    <t>Costa, 1985</t>
  </si>
  <si>
    <t>h</t>
  </si>
  <si>
    <t>V. Singh &amp; Scarlatos, 1987</t>
  </si>
  <si>
    <t>i</t>
  </si>
  <si>
    <t>Froehlich, 1987</t>
  </si>
  <si>
    <t>j</t>
  </si>
  <si>
    <t>Froehlich, 1995a</t>
  </si>
  <si>
    <t>Froehlich, 1995b</t>
  </si>
  <si>
    <t>Froehlich, written communication</t>
  </si>
  <si>
    <t>n</t>
  </si>
  <si>
    <t>Ballentine, 1993</t>
  </si>
  <si>
    <t>o</t>
  </si>
  <si>
    <t>Baker &amp; Bliss, 1996</t>
  </si>
  <si>
    <t>p</t>
  </si>
  <si>
    <t>Graham, undated written communication, Physical and Breach Parameters for Dams with Large Storage to Height Ratios</t>
  </si>
  <si>
    <t>q</t>
  </si>
  <si>
    <t>Graham, undated written communication, Actual and Equation Derived Dam Failure Flood Peaks</t>
  </si>
  <si>
    <t>r</t>
  </si>
  <si>
    <t>http://www.wa.gov/ecology/shwr/dams/iowa.html</t>
  </si>
  <si>
    <t>Embankment Dimensions</t>
  </si>
  <si>
    <t>Breach Outflow</t>
  </si>
  <si>
    <t>Hydraulic Characteristics</t>
  </si>
  <si>
    <t>Breach Characteristics</t>
  </si>
  <si>
    <t>Time Parameters</t>
  </si>
  <si>
    <t>Dam</t>
  </si>
  <si>
    <t>Crest</t>
  </si>
  <si>
    <t>Base</t>
  </si>
  <si>
    <t>Average</t>
  </si>
  <si>
    <t>Upstream</t>
  </si>
  <si>
    <t>Downstream</t>
  </si>
  <si>
    <t>Peak</t>
  </si>
  <si>
    <t xml:space="preserve">Reservoir </t>
  </si>
  <si>
    <t xml:space="preserve">Volume Stored Above </t>
  </si>
  <si>
    <t>Depth Above</t>
  </si>
  <si>
    <t>Breach Formation</t>
  </si>
  <si>
    <t>Top</t>
  </si>
  <si>
    <t>Bottom</t>
  </si>
  <si>
    <t>Average Side</t>
  </si>
  <si>
    <t>Eroded</t>
  </si>
  <si>
    <t>Formation</t>
  </si>
  <si>
    <t>Failure</t>
  </si>
  <si>
    <t>Max Development</t>
  </si>
  <si>
    <t xml:space="preserve">Breach and </t>
  </si>
  <si>
    <t>Height</t>
  </si>
  <si>
    <t>Width</t>
  </si>
  <si>
    <t>Slope</t>
  </si>
  <si>
    <t>Length</t>
  </si>
  <si>
    <t>Outflow</t>
  </si>
  <si>
    <t>Method of Determining Peak Outflow</t>
  </si>
  <si>
    <t>Surface Area</t>
  </si>
  <si>
    <t>Breach Invert</t>
  </si>
  <si>
    <t>Breach</t>
  </si>
  <si>
    <t>Factor</t>
  </si>
  <si>
    <t>Slopes</t>
  </si>
  <si>
    <r>
      <t>Time</t>
    </r>
    <r>
      <rPr>
        <vertAlign val="superscript"/>
        <sz val="10"/>
        <rFont val="Arial"/>
        <family val="2"/>
      </rPr>
      <t>1</t>
    </r>
  </si>
  <si>
    <r>
      <t>Time</t>
    </r>
    <r>
      <rPr>
        <vertAlign val="superscript"/>
        <sz val="10"/>
        <rFont val="Arial"/>
        <family val="2"/>
      </rPr>
      <t>2</t>
    </r>
    <r>
      <rPr>
        <sz val="11"/>
        <color theme="1"/>
        <rFont val="Calibri"/>
        <family val="2"/>
        <scheme val="minor"/>
      </rPr>
      <t/>
    </r>
  </si>
  <si>
    <r>
      <t>Time</t>
    </r>
    <r>
      <rPr>
        <vertAlign val="superscript"/>
        <sz val="10"/>
        <rFont val="Arial"/>
        <family val="2"/>
      </rPr>
      <t>3</t>
    </r>
    <r>
      <rPr>
        <sz val="11"/>
        <color theme="1"/>
        <rFont val="Calibri"/>
        <family val="2"/>
        <scheme val="minor"/>
      </rPr>
      <t/>
    </r>
  </si>
  <si>
    <r>
      <t>Empty Time</t>
    </r>
    <r>
      <rPr>
        <vertAlign val="superscript"/>
        <sz val="10"/>
        <rFont val="Arial"/>
        <family val="2"/>
      </rPr>
      <t>4</t>
    </r>
  </si>
  <si>
    <r>
      <t>h</t>
    </r>
    <r>
      <rPr>
        <i/>
        <vertAlign val="subscript"/>
        <sz val="10"/>
        <rFont val="Arial"/>
        <family val="2"/>
      </rPr>
      <t>d</t>
    </r>
  </si>
  <si>
    <r>
      <t>W</t>
    </r>
    <r>
      <rPr>
        <i/>
        <vertAlign val="subscript"/>
        <sz val="10"/>
        <rFont val="Arial"/>
        <family val="2"/>
      </rPr>
      <t>c</t>
    </r>
  </si>
  <si>
    <r>
      <t>W</t>
    </r>
    <r>
      <rPr>
        <i/>
        <vertAlign val="subscript"/>
        <sz val="10"/>
        <rFont val="Arial"/>
        <family val="2"/>
      </rPr>
      <t>b</t>
    </r>
  </si>
  <si>
    <t>W</t>
  </si>
  <si>
    <r>
      <t>Z</t>
    </r>
    <r>
      <rPr>
        <i/>
        <vertAlign val="subscript"/>
        <sz val="10"/>
        <rFont val="Arial"/>
        <family val="2"/>
      </rPr>
      <t>e/u</t>
    </r>
  </si>
  <si>
    <r>
      <t>Z</t>
    </r>
    <r>
      <rPr>
        <i/>
        <vertAlign val="subscript"/>
        <sz val="10"/>
        <rFont val="Arial"/>
        <family val="2"/>
      </rPr>
      <t>e/d</t>
    </r>
  </si>
  <si>
    <r>
      <t>Q</t>
    </r>
    <r>
      <rPr>
        <i/>
        <vertAlign val="subscript"/>
        <sz val="10"/>
        <rFont val="Arial"/>
        <family val="2"/>
      </rPr>
      <t>p</t>
    </r>
  </si>
  <si>
    <r>
      <t>V</t>
    </r>
    <r>
      <rPr>
        <i/>
        <vertAlign val="subscript"/>
        <sz val="10"/>
        <rFont val="Arial"/>
        <family val="2"/>
      </rPr>
      <t>w</t>
    </r>
  </si>
  <si>
    <r>
      <t>h</t>
    </r>
    <r>
      <rPr>
        <i/>
        <vertAlign val="subscript"/>
        <sz val="10"/>
        <rFont val="Arial"/>
        <family val="2"/>
      </rPr>
      <t>w</t>
    </r>
  </si>
  <si>
    <r>
      <t>V</t>
    </r>
    <r>
      <rPr>
        <i/>
        <vertAlign val="subscript"/>
        <sz val="10"/>
        <rFont val="Arial"/>
        <family val="2"/>
      </rPr>
      <t>w</t>
    </r>
    <r>
      <rPr>
        <i/>
        <sz val="10"/>
        <rFont val="Arial"/>
        <family val="2"/>
      </rPr>
      <t>H</t>
    </r>
    <r>
      <rPr>
        <i/>
        <vertAlign val="subscript"/>
        <sz val="10"/>
        <rFont val="Arial"/>
        <family val="2"/>
      </rPr>
      <t>w</t>
    </r>
  </si>
  <si>
    <r>
      <t>h</t>
    </r>
    <r>
      <rPr>
        <vertAlign val="subscript"/>
        <sz val="10"/>
        <rFont val="Arial"/>
        <family val="2"/>
      </rPr>
      <t>b</t>
    </r>
  </si>
  <si>
    <r>
      <t>B</t>
    </r>
    <r>
      <rPr>
        <vertAlign val="subscript"/>
        <sz val="10"/>
        <rFont val="Arial"/>
        <family val="2"/>
      </rPr>
      <t>top</t>
    </r>
  </si>
  <si>
    <r>
      <t>B</t>
    </r>
    <r>
      <rPr>
        <vertAlign val="subscript"/>
        <sz val="10"/>
        <rFont val="Arial"/>
        <family val="2"/>
      </rPr>
      <t>bottom</t>
    </r>
  </si>
  <si>
    <t>B</t>
  </si>
  <si>
    <r>
      <t>V</t>
    </r>
    <r>
      <rPr>
        <vertAlign val="subscript"/>
        <sz val="10"/>
        <rFont val="Arial"/>
        <family val="2"/>
      </rPr>
      <t>er</t>
    </r>
  </si>
  <si>
    <r>
      <t>t</t>
    </r>
    <r>
      <rPr>
        <vertAlign val="subscript"/>
        <sz val="10"/>
        <rFont val="Arial"/>
        <family val="2"/>
      </rPr>
      <t>r</t>
    </r>
  </si>
  <si>
    <t xml:space="preserve">Breach </t>
  </si>
  <si>
    <t xml:space="preserve">Dam and Location </t>
  </si>
  <si>
    <t xml:space="preserve">Built </t>
  </si>
  <si>
    <t>Failed</t>
  </si>
  <si>
    <t>Construction</t>
  </si>
  <si>
    <t>Z:1 (h:v)</t>
  </si>
  <si>
    <r>
      <t>m</t>
    </r>
    <r>
      <rPr>
        <vertAlign val="superscript"/>
        <sz val="10"/>
        <rFont val="Arial"/>
        <family val="2"/>
      </rPr>
      <t>3</t>
    </r>
    <r>
      <rPr>
        <sz val="10"/>
        <rFont val="Arial"/>
        <family val="2"/>
      </rPr>
      <t>/s</t>
    </r>
  </si>
  <si>
    <r>
      <t>m</t>
    </r>
    <r>
      <rPr>
        <vertAlign val="superscript"/>
        <sz val="10"/>
        <rFont val="Arial"/>
        <family val="2"/>
      </rPr>
      <t>3</t>
    </r>
  </si>
  <si>
    <r>
      <t>m</t>
    </r>
    <r>
      <rPr>
        <vertAlign val="superscript"/>
        <sz val="10"/>
        <rFont val="Arial"/>
        <family val="2"/>
      </rPr>
      <t>2</t>
    </r>
  </si>
  <si>
    <r>
      <t>m</t>
    </r>
    <r>
      <rPr>
        <vertAlign val="superscript"/>
        <sz val="10"/>
        <rFont val="Arial"/>
        <family val="2"/>
      </rPr>
      <t>4</t>
    </r>
  </si>
  <si>
    <t>Shape</t>
  </si>
  <si>
    <t>hr</t>
  </si>
  <si>
    <t>Apishapa, Colorado</t>
  </si>
  <si>
    <t xml:space="preserve">Homogeneous earthfill, fine sand </t>
  </si>
  <si>
    <t>Baldwin Hills, California</t>
  </si>
  <si>
    <t>Bearwallow Lake, North Carolina</t>
  </si>
  <si>
    <t>Bradfield, England</t>
  </si>
  <si>
    <t>Rockfill/earthfill</t>
  </si>
  <si>
    <t>dh</t>
  </si>
  <si>
    <t>&lt;0.5</t>
  </si>
  <si>
    <t>Break Neck Run, USA</t>
  </si>
  <si>
    <t>Buffalo Creek, West Virginia</t>
  </si>
  <si>
    <t xml:space="preserve">Homogeneous fill, coal waste </t>
  </si>
  <si>
    <t>slope-area 600 m downstream</t>
  </si>
  <si>
    <t>Canyon Lake, USA</t>
  </si>
  <si>
    <t>Castlewood, Colorado</t>
  </si>
  <si>
    <t>Cheaha Creek, USA</t>
  </si>
  <si>
    <t>Clearwater lake Dam, Georgia</t>
  </si>
  <si>
    <t>Cougar Creek, Alberta</t>
  </si>
  <si>
    <t>Davis Reservoir, California</t>
  </si>
  <si>
    <t>Earth with concrete facing</t>
  </si>
  <si>
    <t>fg</t>
  </si>
  <si>
    <t>DMAD, Utah</t>
  </si>
  <si>
    <t>drawdown rate</t>
  </si>
  <si>
    <t>Elk City, Oklahoma</t>
  </si>
  <si>
    <t>Emery, Oklahoma</t>
  </si>
  <si>
    <t>Erindale, Canada</t>
  </si>
  <si>
    <t>Earthfill with concrete masonry corewall</t>
  </si>
  <si>
    <t>&lt;.5</t>
  </si>
  <si>
    <t>Euclides de Cunha, Brazil</t>
  </si>
  <si>
    <t>Fred Burr, Montana</t>
  </si>
  <si>
    <t>gjq</t>
  </si>
  <si>
    <t>slope-area "short distance downstream</t>
  </si>
  <si>
    <t>French Landing, Michigan</t>
  </si>
  <si>
    <t>Frenchman Creek, Montana</t>
  </si>
  <si>
    <t>Frias, Argentina</t>
  </si>
  <si>
    <t>Goose Creek, South Carolina</t>
  </si>
  <si>
    <t>Granite Creek, Alaska</t>
  </si>
  <si>
    <t>discharge 8 km downstream, unknown method</t>
  </si>
  <si>
    <t>Hart, Michigan</t>
  </si>
  <si>
    <t>Hatfield, USA</t>
  </si>
  <si>
    <t>Hebron, USA</t>
  </si>
  <si>
    <t>Hell Hole, California</t>
  </si>
  <si>
    <t>Herrin, Illinois</t>
  </si>
  <si>
    <t>Horse Creek, Colorado</t>
  </si>
  <si>
    <t>Ireland No. 5, Colorado</t>
  </si>
  <si>
    <t>Jacobs Creek, Pennsylvania</t>
  </si>
  <si>
    <t>Johnston City, Illinois</t>
  </si>
  <si>
    <t>Kaddam, India</t>
  </si>
  <si>
    <t>abdhp</t>
  </si>
  <si>
    <t>Kelly Barnes, Georgia</t>
  </si>
  <si>
    <t>slope-area 250 m downstream</t>
  </si>
  <si>
    <t>Kendall Lake Dam, South Carolina</t>
  </si>
  <si>
    <t>La Fruta, Texas</t>
  </si>
  <si>
    <t>Lake Avalon, New Mexico</t>
  </si>
  <si>
    <t>Lake Barcroft, USA</t>
  </si>
  <si>
    <t>long</t>
  </si>
  <si>
    <t>Lake Frances, California</t>
  </si>
  <si>
    <t>Lake Latonka, Pennsylvania</t>
  </si>
  <si>
    <t>Lambert Lake, Tennessee</t>
  </si>
  <si>
    <t>Laurel Run, Pennsylvania</t>
  </si>
  <si>
    <t>slope-area 1.6 km downstream</t>
  </si>
  <si>
    <t>Lawn Lake, Colorado</t>
  </si>
  <si>
    <t>Lily Lake, Colorado</t>
  </si>
  <si>
    <t>slope-area unknown location</t>
  </si>
  <si>
    <t>Long Branch Canyon, California</t>
  </si>
  <si>
    <t>Lower Latham, Colorado</t>
  </si>
  <si>
    <t>Lower Otay, California</t>
  </si>
  <si>
    <t>Lower Two Medicine, Montana</t>
  </si>
  <si>
    <t>slope-area 4 km downstream</t>
  </si>
  <si>
    <t>Lyman, Arizona</t>
  </si>
  <si>
    <t>Lynde Brook, Massachusetts</t>
  </si>
  <si>
    <t>Machhu II, India</t>
  </si>
  <si>
    <t>dhp</t>
  </si>
  <si>
    <t>Mammoth, USA</t>
  </si>
  <si>
    <t>Martin Cooling Pond Dike, Florida</t>
  </si>
  <si>
    <t>Foundation Defect</t>
  </si>
  <si>
    <t>pq</t>
  </si>
  <si>
    <t>Mill River, Massachusetts</t>
  </si>
  <si>
    <t>Earth and masonry</t>
  </si>
  <si>
    <t>Nanaksagar, India</t>
  </si>
  <si>
    <t>hp</t>
  </si>
  <si>
    <t>Nahzille, New Mexico</t>
  </si>
  <si>
    <t>North Branch Tributary, Pennsylvania</t>
  </si>
  <si>
    <t>Oakford Park, USA</t>
  </si>
  <si>
    <t>Otter lake, Tennessee</t>
  </si>
  <si>
    <t>Otto Run, USA</t>
  </si>
  <si>
    <t>Pierce Reservoir, Wyoming</t>
  </si>
  <si>
    <t>Potato Hill Lake, North Carolina</t>
  </si>
  <si>
    <t>Prospect, Colorado</t>
  </si>
  <si>
    <t>Puddingstone, California</t>
  </si>
  <si>
    <t>Rainbow Lake, Michigan</t>
  </si>
  <si>
    <t>Renegade Resort Lake, Tennessee</t>
  </si>
  <si>
    <t>Rito Manzanares, New Mexico</t>
  </si>
  <si>
    <t>Sandy Run, Pennsylvania</t>
  </si>
  <si>
    <t>fhq</t>
  </si>
  <si>
    <t>Schaeffer, Colorado</t>
  </si>
  <si>
    <t>1/2 hr required to drain reservoir</t>
  </si>
  <si>
    <t>Sherbume, USA</t>
  </si>
  <si>
    <t>South Fork Tributary, Pennsylvania</t>
  </si>
  <si>
    <t>Spring Lake, Rhode Island</t>
  </si>
  <si>
    <t>slope-area 27 km downstream</t>
  </si>
  <si>
    <t>Trout lake, North Carolina</t>
  </si>
  <si>
    <t>Upper pond, Connecticut</t>
  </si>
  <si>
    <t>Wheatland No. 1, Wyoming</t>
  </si>
  <si>
    <t>Winston, North Carolina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</si>
</sst>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
    <numFmt numFmtId="166" formatCode="0.00E+00_)"/>
    <numFmt numFmtId="167" formatCode="0.000E+00_)"/>
    <numFmt numFmtId="168" formatCode="0.0_)"/>
    <numFmt numFmtId="169" formatCode="0.00_)"/>
    <numFmt numFmtId="170" formatCode="0_)"/>
    <numFmt numFmtId="171" formatCode="0.0E+00_)"/>
    <numFmt numFmtId="172" formatCode="_(* #,##0_);_(* \(#,##0\);_(* &quot;-&quot;??_);_(@_)"/>
  </numFmts>
  <fonts count="41">
    <font>
      <sz val="10"/>
      <name val="Arial"/>
    </font>
    <font>
      <sz val="11"/>
      <color theme="1"/>
      <name val="Calibri"/>
      <family val="2"/>
      <scheme val="minor"/>
    </font>
    <font>
      <sz val="10"/>
      <name val="Arial"/>
      <family val="2"/>
    </font>
    <font>
      <b/>
      <u/>
      <sz val="10"/>
      <name val="Arial"/>
      <family val="2"/>
    </font>
    <font>
      <sz val="10"/>
      <color indexed="10"/>
      <name val="Arial"/>
      <family val="2"/>
    </font>
    <font>
      <b/>
      <sz val="10"/>
      <name val="Arial"/>
      <family val="2"/>
    </font>
    <font>
      <sz val="10"/>
      <color indexed="8"/>
      <name val="Arial"/>
      <family val="2"/>
    </font>
    <font>
      <b/>
      <vertAlign val="superscript"/>
      <sz val="10"/>
      <name val="Arial"/>
      <family val="2"/>
    </font>
    <font>
      <vertAlign val="subscript"/>
      <sz val="10"/>
      <name val="Arial"/>
      <family val="2"/>
    </font>
    <font>
      <b/>
      <sz val="10"/>
      <color indexed="12"/>
      <name val="Arial"/>
      <family val="2"/>
    </font>
    <font>
      <sz val="8"/>
      <color indexed="8"/>
      <name val="Arial"/>
      <family val="2"/>
    </font>
    <font>
      <sz val="8"/>
      <color indexed="10"/>
      <name val="Arial"/>
      <family val="2"/>
    </font>
    <font>
      <sz val="10"/>
      <color rgb="FFFF0000"/>
      <name val="Arial"/>
      <family val="2"/>
    </font>
    <font>
      <sz val="10"/>
      <color rgb="FF00B050"/>
      <name val="Arial"/>
      <family val="2"/>
    </font>
    <font>
      <sz val="9"/>
      <color rgb="FF00B050"/>
      <name val="Arial"/>
      <family val="2"/>
    </font>
    <font>
      <sz val="9"/>
      <name val="Arial"/>
      <family val="2"/>
    </font>
    <font>
      <sz val="10"/>
      <color rgb="FF3F3F76"/>
      <name val="Arial"/>
      <family val="2"/>
    </font>
    <font>
      <sz val="8"/>
      <name val="Arial"/>
      <family val="2"/>
    </font>
    <font>
      <b/>
      <sz val="11"/>
      <name val="Arial"/>
      <family val="2"/>
    </font>
    <font>
      <sz val="7"/>
      <color rgb="FFFF0000"/>
      <name val="Arial"/>
      <family val="2"/>
    </font>
    <font>
      <b/>
      <sz val="12"/>
      <name val="Arial"/>
      <family val="2"/>
    </font>
    <font>
      <b/>
      <i/>
      <sz val="12"/>
      <name val="Arial"/>
      <family val="2"/>
    </font>
    <font>
      <i/>
      <sz val="10"/>
      <name val="Arial"/>
      <family val="2"/>
    </font>
    <font>
      <b/>
      <sz val="10"/>
      <color rgb="FFFF0000"/>
      <name val="Arial"/>
      <family val="2"/>
    </font>
    <font>
      <vertAlign val="superscript"/>
      <sz val="10"/>
      <name val="Arial"/>
      <family val="2"/>
    </font>
    <font>
      <i/>
      <vertAlign val="subscript"/>
      <sz val="10"/>
      <name val="Arial"/>
      <family val="2"/>
    </font>
    <font>
      <sz val="9"/>
      <color indexed="81"/>
      <name val="Tahoma"/>
      <family val="2"/>
    </font>
    <font>
      <vertAlign val="subscript"/>
      <sz val="9"/>
      <name val="Arial"/>
      <family val="2"/>
    </font>
    <font>
      <sz val="9"/>
      <color indexed="10"/>
      <name val="Tahoma"/>
      <family val="2"/>
    </font>
    <font>
      <sz val="12"/>
      <name val="Arial"/>
      <family val="2"/>
    </font>
    <font>
      <sz val="12"/>
      <name val="SWISS"/>
    </font>
    <font>
      <b/>
      <sz val="12"/>
      <name val="SWISS"/>
    </font>
    <font>
      <sz val="12"/>
      <name val="SWISS"/>
      <family val="2"/>
    </font>
    <font>
      <sz val="12"/>
      <name val="DUTCH"/>
    </font>
    <font>
      <sz val="12"/>
      <color indexed="12"/>
      <name val="SWISS"/>
      <family val="2"/>
    </font>
    <font>
      <i/>
      <sz val="12"/>
      <name val="Arial"/>
      <family val="2"/>
    </font>
    <font>
      <i/>
      <sz val="12"/>
      <name val="SWISS"/>
    </font>
    <font>
      <b/>
      <u/>
      <sz val="12"/>
      <name val="Arial"/>
      <family val="2"/>
    </font>
    <font>
      <u/>
      <sz val="12"/>
      <name val="Arial"/>
      <family val="2"/>
    </font>
    <font>
      <b/>
      <sz val="9"/>
      <color indexed="81"/>
      <name val="Tahoma"/>
      <family val="2"/>
    </font>
    <font>
      <b/>
      <sz val="9"/>
      <color indexed="10"/>
      <name val="Tahoma"/>
      <family val="2"/>
    </font>
  </fonts>
  <fills count="17">
    <fill>
      <patternFill patternType="none"/>
    </fill>
    <fill>
      <patternFill patternType="gray125"/>
    </fill>
    <fill>
      <patternFill patternType="solid">
        <fgColor indexed="13"/>
        <bgColor indexed="64"/>
      </patternFill>
    </fill>
    <fill>
      <patternFill patternType="solid">
        <fgColor rgb="FF92D050"/>
        <bgColor indexed="64"/>
      </patternFill>
    </fill>
    <fill>
      <patternFill patternType="solid">
        <fgColor rgb="FFFFFF00"/>
        <bgColor indexed="64"/>
      </patternFill>
    </fill>
    <fill>
      <patternFill patternType="solid">
        <fgColor rgb="FF00FFFF"/>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CC99"/>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9F9F"/>
        <bgColor indexed="64"/>
      </patternFill>
    </fill>
    <fill>
      <patternFill patternType="solid">
        <fgColor theme="0" tint="-0.49998474074526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indexed="15"/>
        <bgColor indexed="15"/>
      </patternFill>
    </fill>
    <fill>
      <patternFill patternType="solid">
        <fgColor theme="2" tint="-9.9978637043366805E-2"/>
        <bgColor indexed="64"/>
      </patternFill>
    </fill>
  </fills>
  <borders count="47">
    <border>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hair">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style="medium">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top style="medium">
        <color indexed="64"/>
      </top>
      <bottom style="medium">
        <color indexed="64"/>
      </bottom>
      <diagonal/>
    </border>
    <border>
      <left style="thick">
        <color auto="1"/>
      </left>
      <right/>
      <top/>
      <bottom/>
      <diagonal/>
    </border>
    <border>
      <left style="thick">
        <color auto="1"/>
      </left>
      <right/>
      <top/>
      <bottom style="thin">
        <color indexed="64"/>
      </bottom>
      <diagonal/>
    </border>
    <border>
      <left/>
      <right/>
      <top/>
      <bottom style="thick">
        <color auto="1"/>
      </bottom>
      <diagonal/>
    </border>
    <border>
      <left style="thick">
        <color auto="1"/>
      </left>
      <right/>
      <top/>
      <bottom style="thick">
        <color auto="1"/>
      </bottom>
      <diagonal/>
    </border>
    <border>
      <left/>
      <right style="thick">
        <color auto="1"/>
      </right>
      <top/>
      <bottom/>
      <diagonal/>
    </border>
    <border>
      <left/>
      <right style="thick">
        <color auto="1"/>
      </right>
      <top/>
      <bottom style="thick">
        <color auto="1"/>
      </bottom>
      <diagonal/>
    </border>
    <border>
      <left style="thick">
        <color auto="1"/>
      </left>
      <right/>
      <top style="thin">
        <color auto="1"/>
      </top>
      <bottom/>
      <diagonal/>
    </border>
    <border>
      <left/>
      <right style="thick">
        <color auto="1"/>
      </right>
      <top style="thin">
        <color auto="1"/>
      </top>
      <bottom/>
      <diagonal/>
    </border>
    <border>
      <left/>
      <right style="thick">
        <color auto="1"/>
      </right>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thin">
        <color indexed="64"/>
      </left>
      <right/>
      <top/>
      <bottom/>
      <diagonal/>
    </border>
    <border>
      <left/>
      <right/>
      <top style="thin">
        <color rgb="FF7F7F7F"/>
      </top>
      <bottom style="thin">
        <color indexed="64"/>
      </bottom>
      <diagonal/>
    </border>
  </borders>
  <cellStyleXfs count="6">
    <xf numFmtId="0" fontId="0" fillId="0" borderId="0"/>
    <xf numFmtId="0" fontId="2" fillId="0" borderId="0"/>
    <xf numFmtId="0" fontId="16" fillId="8" borderId="17" applyNumberFormat="0" applyAlignment="0" applyProtection="0"/>
    <xf numFmtId="0" fontId="29" fillId="0" borderId="0"/>
    <xf numFmtId="0" fontId="33" fillId="15" borderId="0"/>
    <xf numFmtId="43" fontId="2" fillId="0" borderId="0" applyFont="0" applyFill="0" applyBorder="0" applyAlignment="0" applyProtection="0"/>
  </cellStyleXfs>
  <cellXfs count="364">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2" fillId="0" borderId="0" xfId="0" applyFont="1" applyBorder="1" applyAlignment="1">
      <alignment horizontal="center" vertical="center"/>
    </xf>
    <xf numFmtId="0" fontId="0" fillId="0" borderId="10" xfId="0" applyBorder="1" applyAlignment="1">
      <alignment horizontal="center" vertical="center"/>
    </xf>
    <xf numFmtId="165" fontId="0" fillId="0" borderId="0" xfId="0" applyNumberFormat="1" applyAlignment="1">
      <alignment horizontal="center" vertical="center"/>
    </xf>
    <xf numFmtId="0" fontId="2" fillId="0" borderId="0" xfId="0" applyFont="1" applyAlignment="1">
      <alignment horizontal="left"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0" fillId="0" borderId="33" xfId="0" applyBorder="1" applyAlignment="1">
      <alignment horizontal="center" vertical="center"/>
    </xf>
    <xf numFmtId="0" fontId="0" fillId="0" borderId="0" xfId="0" applyBorder="1" applyAlignment="1">
      <alignment horizontal="center" vertical="center"/>
    </xf>
    <xf numFmtId="0" fontId="0" fillId="0" borderId="35" xfId="0" applyBorder="1" applyAlignment="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165" fontId="0" fillId="0" borderId="0" xfId="0" applyNumberFormat="1" applyBorder="1" applyAlignment="1">
      <alignment horizontal="center" vertical="center"/>
    </xf>
    <xf numFmtId="165" fontId="2" fillId="0" borderId="0" xfId="0" applyNumberFormat="1" applyFont="1" applyBorder="1" applyAlignment="1">
      <alignment horizontal="center" vertical="center"/>
    </xf>
    <xf numFmtId="165" fontId="2" fillId="0" borderId="35" xfId="0" applyNumberFormat="1" applyFont="1" applyBorder="1" applyAlignment="1">
      <alignment horizontal="center" vertical="center"/>
    </xf>
    <xf numFmtId="165" fontId="0" fillId="0" borderId="33" xfId="0" applyNumberFormat="1" applyBorder="1" applyAlignment="1">
      <alignment horizontal="center" vertical="center"/>
    </xf>
    <xf numFmtId="165" fontId="2" fillId="0" borderId="33" xfId="0" applyNumberFormat="1" applyFont="1" applyBorder="1" applyAlignment="1">
      <alignment horizontal="center" vertical="center"/>
    </xf>
    <xf numFmtId="165" fontId="2" fillId="0" borderId="36" xfId="0" applyNumberFormat="1" applyFont="1" applyBorder="1" applyAlignment="1">
      <alignment horizontal="center" vertical="center"/>
    </xf>
    <xf numFmtId="0" fontId="22" fillId="0" borderId="33" xfId="0" applyFont="1" applyBorder="1" applyAlignment="1">
      <alignment horizontal="center" vertical="center"/>
    </xf>
    <xf numFmtId="0" fontId="22" fillId="0" borderId="0" xfId="0" applyFont="1" applyBorder="1" applyAlignment="1">
      <alignment horizontal="center" vertical="center"/>
    </xf>
    <xf numFmtId="165" fontId="22" fillId="0" borderId="33" xfId="0" applyNumberFormat="1" applyFont="1" applyBorder="1" applyAlignment="1">
      <alignment horizontal="center" vertical="center"/>
    </xf>
    <xf numFmtId="0" fontId="2" fillId="0" borderId="37" xfId="0" applyFont="1" applyBorder="1" applyAlignment="1">
      <alignment horizontal="center" vertical="center"/>
    </xf>
    <xf numFmtId="0" fontId="0" fillId="0" borderId="37" xfId="0" applyBorder="1" applyAlignment="1">
      <alignment horizontal="center" vertical="center"/>
    </xf>
    <xf numFmtId="0" fontId="2" fillId="0" borderId="38" xfId="0" applyFont="1" applyBorder="1" applyAlignment="1">
      <alignment horizontal="center" vertical="center"/>
    </xf>
    <xf numFmtId="0" fontId="22" fillId="0" borderId="37" xfId="0" applyFont="1" applyBorder="1" applyAlignment="1">
      <alignment horizontal="center" vertical="center"/>
    </xf>
    <xf numFmtId="2" fontId="0" fillId="0" borderId="33" xfId="0" applyNumberFormat="1" applyBorder="1" applyAlignment="1">
      <alignment horizontal="center" vertical="center"/>
    </xf>
    <xf numFmtId="2" fontId="0" fillId="0" borderId="0" xfId="0" applyNumberFormat="1" applyAlignment="1">
      <alignment horizontal="center" vertical="center"/>
    </xf>
    <xf numFmtId="2" fontId="2" fillId="0" borderId="0" xfId="0" applyNumberFormat="1" applyFont="1" applyAlignment="1">
      <alignment horizontal="center" vertical="center"/>
    </xf>
    <xf numFmtId="3" fontId="0" fillId="0" borderId="33" xfId="0" applyNumberFormat="1" applyBorder="1" applyAlignment="1">
      <alignment horizontal="right" vertical="center"/>
    </xf>
    <xf numFmtId="3" fontId="0" fillId="0" borderId="0" xfId="0" applyNumberFormat="1" applyBorder="1" applyAlignment="1">
      <alignment horizontal="right" vertical="center"/>
    </xf>
    <xf numFmtId="0" fontId="0" fillId="0" borderId="13" xfId="0" applyBorder="1" applyAlignment="1">
      <alignment horizontal="center" vertical="center"/>
    </xf>
    <xf numFmtId="0" fontId="2" fillId="0" borderId="13" xfId="0" applyFont="1" applyBorder="1" applyAlignment="1">
      <alignment horizontal="left" vertical="center"/>
    </xf>
    <xf numFmtId="0" fontId="0" fillId="0" borderId="39" xfId="0" applyBorder="1" applyAlignment="1">
      <alignment horizontal="center" vertical="center"/>
    </xf>
    <xf numFmtId="0" fontId="0" fillId="0" borderId="13" xfId="0" applyBorder="1" applyAlignment="1">
      <alignment horizontal="left" vertical="center"/>
    </xf>
    <xf numFmtId="165" fontId="0" fillId="0" borderId="39" xfId="0" applyNumberFormat="1" applyBorder="1" applyAlignment="1">
      <alignment horizontal="center" vertical="center"/>
    </xf>
    <xf numFmtId="165" fontId="0" fillId="0" borderId="13" xfId="0" applyNumberFormat="1" applyBorder="1" applyAlignment="1">
      <alignment horizontal="center" vertical="center"/>
    </xf>
    <xf numFmtId="3" fontId="0" fillId="0" borderId="39" xfId="0" applyNumberFormat="1" applyBorder="1" applyAlignment="1">
      <alignment horizontal="right" vertical="center"/>
    </xf>
    <xf numFmtId="3" fontId="0" fillId="0" borderId="13" xfId="0" applyNumberFormat="1" applyBorder="1" applyAlignment="1">
      <alignment horizontal="right" vertical="center"/>
    </xf>
    <xf numFmtId="2" fontId="0" fillId="0" borderId="39" xfId="0" applyNumberFormat="1" applyBorder="1" applyAlignment="1">
      <alignment horizontal="center" vertical="center"/>
    </xf>
    <xf numFmtId="2" fontId="0" fillId="0" borderId="13" xfId="0" applyNumberFormat="1" applyBorder="1" applyAlignment="1">
      <alignment horizontal="center" vertical="center"/>
    </xf>
    <xf numFmtId="0" fontId="0" fillId="0" borderId="0" xfId="0" applyBorder="1" applyAlignment="1">
      <alignment horizontal="left" vertical="center"/>
    </xf>
    <xf numFmtId="0" fontId="2" fillId="0" borderId="0" xfId="0" applyFont="1" applyBorder="1" applyAlignment="1">
      <alignment horizontal="left" vertical="center"/>
    </xf>
    <xf numFmtId="2" fontId="0" fillId="0" borderId="0" xfId="0" applyNumberFormat="1" applyBorder="1" applyAlignment="1">
      <alignment horizontal="center" vertical="center"/>
    </xf>
    <xf numFmtId="0" fontId="2" fillId="0" borderId="10" xfId="0" applyFont="1" applyBorder="1" applyAlignment="1">
      <alignment horizontal="left" vertical="center"/>
    </xf>
    <xf numFmtId="0" fontId="0" fillId="0" borderId="34" xfId="0" applyBorder="1" applyAlignment="1">
      <alignment horizontal="center" vertical="center"/>
    </xf>
    <xf numFmtId="0" fontId="0" fillId="0" borderId="10" xfId="0" applyBorder="1" applyAlignment="1">
      <alignment horizontal="left" vertical="center"/>
    </xf>
    <xf numFmtId="165" fontId="0" fillId="0" borderId="34" xfId="0" applyNumberFormat="1" applyBorder="1" applyAlignment="1">
      <alignment horizontal="center" vertical="center"/>
    </xf>
    <xf numFmtId="165" fontId="0" fillId="0" borderId="10" xfId="0" applyNumberFormat="1" applyBorder="1" applyAlignment="1">
      <alignment horizontal="center" vertical="center"/>
    </xf>
    <xf numFmtId="3" fontId="0" fillId="0" borderId="34" xfId="0" applyNumberFormat="1" applyBorder="1" applyAlignment="1">
      <alignment horizontal="right" vertical="center"/>
    </xf>
    <xf numFmtId="3" fontId="0" fillId="0" borderId="10" xfId="0" applyNumberFormat="1" applyBorder="1" applyAlignment="1">
      <alignment horizontal="right" vertical="center"/>
    </xf>
    <xf numFmtId="2" fontId="0" fillId="0" borderId="34" xfId="0" applyNumberFormat="1" applyBorder="1" applyAlignment="1">
      <alignment horizontal="center" vertical="center"/>
    </xf>
    <xf numFmtId="2" fontId="0" fillId="0" borderId="10" xfId="0" applyNumberFormat="1" applyBorder="1" applyAlignment="1">
      <alignment horizontal="center" vertical="center"/>
    </xf>
    <xf numFmtId="0" fontId="2" fillId="0" borderId="40" xfId="0" applyFont="1" applyBorder="1" applyAlignment="1">
      <alignment horizontal="left" vertical="center"/>
    </xf>
    <xf numFmtId="0" fontId="0" fillId="0" borderId="37" xfId="0" applyBorder="1" applyAlignment="1">
      <alignment horizontal="left" vertical="center"/>
    </xf>
    <xf numFmtId="0" fontId="2" fillId="0" borderId="37" xfId="0" applyFont="1" applyBorder="1" applyAlignment="1">
      <alignment horizontal="left" vertical="center"/>
    </xf>
    <xf numFmtId="0" fontId="2" fillId="0" borderId="41" xfId="0" applyFont="1" applyBorder="1" applyAlignment="1">
      <alignment horizontal="left" vertical="center"/>
    </xf>
    <xf numFmtId="2" fontId="2" fillId="0" borderId="10" xfId="0" applyNumberFormat="1" applyFont="1" applyBorder="1" applyAlignment="1">
      <alignment horizontal="center" vertical="center"/>
    </xf>
    <xf numFmtId="4" fontId="0" fillId="0" borderId="0" xfId="0" applyNumberFormat="1" applyBorder="1" applyAlignment="1">
      <alignment horizontal="center" vertical="center"/>
    </xf>
    <xf numFmtId="4" fontId="0" fillId="0" borderId="13" xfId="0" applyNumberFormat="1" applyBorder="1" applyAlignment="1">
      <alignment horizontal="center" vertical="center"/>
    </xf>
    <xf numFmtId="4" fontId="0" fillId="0" borderId="10" xfId="0" applyNumberFormat="1" applyBorder="1" applyAlignment="1">
      <alignment horizontal="center" vertical="center"/>
    </xf>
    <xf numFmtId="165" fontId="0" fillId="0" borderId="33" xfId="0" applyNumberFormat="1" applyBorder="1" applyAlignment="1">
      <alignment horizontal="right" vertical="center"/>
    </xf>
    <xf numFmtId="165" fontId="0" fillId="0" borderId="39" xfId="0" applyNumberFormat="1" applyBorder="1" applyAlignment="1">
      <alignment horizontal="right" vertical="center"/>
    </xf>
    <xf numFmtId="165" fontId="0" fillId="0" borderId="34" xfId="0" applyNumberFormat="1" applyBorder="1" applyAlignment="1">
      <alignment horizontal="right" vertical="center"/>
    </xf>
    <xf numFmtId="3" fontId="0" fillId="0" borderId="37" xfId="0" applyNumberFormat="1" applyBorder="1" applyAlignment="1">
      <alignment horizontal="right" vertical="center"/>
    </xf>
    <xf numFmtId="3" fontId="0" fillId="0" borderId="40" xfId="0" applyNumberFormat="1" applyBorder="1" applyAlignment="1">
      <alignment horizontal="right" vertical="center"/>
    </xf>
    <xf numFmtId="3" fontId="0" fillId="0" borderId="41" xfId="0" applyNumberFormat="1" applyBorder="1" applyAlignment="1">
      <alignment horizontal="right" vertical="center"/>
    </xf>
    <xf numFmtId="0" fontId="2" fillId="0" borderId="39" xfId="0" applyFont="1" applyBorder="1" applyAlignment="1">
      <alignment horizontal="center" vertical="center"/>
    </xf>
    <xf numFmtId="3" fontId="0" fillId="0" borderId="0" xfId="0" applyNumberFormat="1" applyAlignment="1">
      <alignment horizontal="right" vertical="center"/>
    </xf>
    <xf numFmtId="165" fontId="0" fillId="0" borderId="40" xfId="0" applyNumberFormat="1" applyBorder="1" applyAlignment="1">
      <alignment horizontal="center" vertical="center"/>
    </xf>
    <xf numFmtId="165" fontId="0" fillId="0" borderId="37" xfId="0" applyNumberFormat="1" applyBorder="1" applyAlignment="1">
      <alignment horizontal="center" vertical="center"/>
    </xf>
    <xf numFmtId="165" fontId="2" fillId="0" borderId="0" xfId="0" applyNumberFormat="1" applyFont="1" applyAlignment="1">
      <alignment horizontal="center" vertical="center"/>
    </xf>
    <xf numFmtId="165" fontId="2" fillId="0" borderId="13" xfId="0" applyNumberFormat="1" applyFont="1" applyBorder="1" applyAlignment="1">
      <alignment horizontal="center" vertical="center"/>
    </xf>
    <xf numFmtId="165" fontId="2" fillId="0" borderId="37" xfId="0" applyNumberFormat="1" applyFont="1" applyBorder="1" applyAlignment="1">
      <alignment horizontal="center" vertical="center"/>
    </xf>
    <xf numFmtId="165" fontId="2" fillId="0" borderId="41" xfId="0" applyNumberFormat="1" applyFont="1" applyBorder="1" applyAlignment="1">
      <alignment horizontal="center" vertical="center"/>
    </xf>
    <xf numFmtId="165" fontId="2" fillId="0" borderId="10" xfId="0" applyNumberFormat="1" applyFont="1" applyBorder="1" applyAlignment="1">
      <alignment horizontal="center" vertical="center"/>
    </xf>
    <xf numFmtId="4" fontId="0" fillId="0" borderId="0" xfId="0" applyNumberFormat="1" applyAlignment="1">
      <alignment horizontal="center" vertical="center"/>
    </xf>
    <xf numFmtId="4" fontId="2" fillId="0" borderId="0"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0" xfId="0" applyFont="1" applyBorder="1" applyAlignment="1">
      <alignment horizontal="center" vertical="center"/>
    </xf>
    <xf numFmtId="2" fontId="2" fillId="0" borderId="0" xfId="0" applyNumberFormat="1" applyFont="1" applyBorder="1" applyAlignment="1">
      <alignment horizontal="center" vertical="center"/>
    </xf>
    <xf numFmtId="164" fontId="0" fillId="4" borderId="11" xfId="0" applyNumberFormat="1" applyFill="1" applyBorder="1" applyAlignment="1" applyProtection="1">
      <alignment horizontal="center" vertical="center"/>
      <protection locked="0"/>
    </xf>
    <xf numFmtId="0" fontId="2" fillId="2" borderId="11" xfId="0" applyFont="1" applyFill="1" applyBorder="1" applyAlignment="1" applyProtection="1">
      <alignment horizontal="center"/>
      <protection locked="0"/>
    </xf>
    <xf numFmtId="0" fontId="6" fillId="2" borderId="11" xfId="0" applyFont="1" applyFill="1" applyBorder="1" applyAlignment="1" applyProtection="1">
      <alignment horizontal="center"/>
      <protection locked="0"/>
    </xf>
    <xf numFmtId="164" fontId="6" fillId="2" borderId="11" xfId="0" applyNumberFormat="1" applyFont="1" applyFill="1" applyBorder="1" applyAlignment="1" applyProtection="1">
      <alignment horizontal="center"/>
      <protection locked="0"/>
    </xf>
    <xf numFmtId="164" fontId="6" fillId="0" borderId="0" xfId="0" applyNumberFormat="1" applyFont="1" applyFill="1" applyBorder="1" applyAlignment="1" applyProtection="1">
      <alignment horizontal="center"/>
      <protection locked="0"/>
    </xf>
    <xf numFmtId="0" fontId="5" fillId="0" borderId="0" xfId="0" applyFont="1" applyProtection="1"/>
    <xf numFmtId="0" fontId="2" fillId="0" borderId="0" xfId="0" applyFont="1" applyProtection="1"/>
    <xf numFmtId="0" fontId="0" fillId="0" borderId="0" xfId="0" applyProtection="1"/>
    <xf numFmtId="4" fontId="0" fillId="2" borderId="11" xfId="0" applyNumberFormat="1" applyFill="1" applyBorder="1" applyAlignment="1" applyProtection="1">
      <alignment horizontal="center"/>
      <protection locked="0"/>
    </xf>
    <xf numFmtId="3" fontId="6" fillId="2" borderId="11" xfId="0" applyNumberFormat="1" applyFont="1" applyFill="1" applyBorder="1" applyAlignment="1" applyProtection="1">
      <alignment horizontal="center"/>
      <protection locked="0"/>
    </xf>
    <xf numFmtId="3" fontId="2" fillId="4" borderId="11" xfId="0" applyNumberFormat="1" applyFont="1" applyFill="1" applyBorder="1" applyAlignment="1" applyProtection="1">
      <alignment horizontal="center"/>
      <protection locked="0"/>
    </xf>
    <xf numFmtId="0" fontId="29" fillId="0" borderId="0" xfId="3"/>
    <xf numFmtId="0" fontId="29" fillId="0" borderId="0" xfId="3" applyBorder="1" applyAlignment="1" applyProtection="1">
      <alignment horizontal="center"/>
    </xf>
    <xf numFmtId="0" fontId="29" fillId="0" borderId="0" xfId="3" applyBorder="1" applyProtection="1"/>
    <xf numFmtId="0" fontId="29" fillId="0" borderId="0" xfId="3" applyProtection="1"/>
    <xf numFmtId="0" fontId="29" fillId="0" borderId="0" xfId="3" applyBorder="1"/>
    <xf numFmtId="0" fontId="34" fillId="0" borderId="0" xfId="3" applyFont="1" applyProtection="1"/>
    <xf numFmtId="0" fontId="29" fillId="9" borderId="0" xfId="3" applyFill="1" applyBorder="1"/>
    <xf numFmtId="0" fontId="20" fillId="9" borderId="0" xfId="3" applyFont="1" applyFill="1" applyBorder="1" applyAlignment="1">
      <alignment horizontal="center"/>
    </xf>
    <xf numFmtId="0" fontId="35" fillId="9" borderId="45" xfId="3" applyFont="1" applyFill="1" applyBorder="1" applyAlignment="1">
      <alignment horizontal="center"/>
    </xf>
    <xf numFmtId="0" fontId="29" fillId="9" borderId="45" xfId="3" applyFill="1" applyBorder="1"/>
    <xf numFmtId="0" fontId="29" fillId="9" borderId="0" xfId="3" applyFill="1" applyBorder="1" applyAlignment="1" applyProtection="1">
      <alignment horizontal="right"/>
    </xf>
    <xf numFmtId="0" fontId="29" fillId="9" borderId="0" xfId="3" applyFill="1" applyBorder="1" applyProtection="1"/>
    <xf numFmtId="0" fontId="29" fillId="9" borderId="0" xfId="3" applyFill="1" applyBorder="1" applyAlignment="1" applyProtection="1">
      <alignment horizontal="center"/>
    </xf>
    <xf numFmtId="0" fontId="20" fillId="9" borderId="0" xfId="3" applyFont="1" applyFill="1" applyBorder="1" applyAlignment="1" applyProtection="1">
      <alignment horizontal="center"/>
    </xf>
    <xf numFmtId="0" fontId="30" fillId="9" borderId="0" xfId="3" applyFont="1" applyFill="1" applyBorder="1" applyAlignment="1">
      <alignment horizontal="center" wrapText="1"/>
    </xf>
    <xf numFmtId="0" fontId="30" fillId="9" borderId="0" xfId="3" applyFont="1" applyFill="1" applyBorder="1" applyAlignment="1" applyProtection="1">
      <alignment horizontal="center" wrapText="1"/>
    </xf>
    <xf numFmtId="0" fontId="31" fillId="9" borderId="0" xfId="3" applyFont="1" applyFill="1" applyBorder="1" applyAlignment="1" applyProtection="1">
      <alignment horizontal="center" wrapText="1"/>
    </xf>
    <xf numFmtId="0" fontId="36" fillId="9" borderId="45" xfId="3" applyFont="1" applyFill="1" applyBorder="1" applyAlignment="1" applyProtection="1">
      <alignment horizontal="center" wrapText="1"/>
    </xf>
    <xf numFmtId="0" fontId="36" fillId="9" borderId="0" xfId="3" applyFont="1" applyFill="1" applyBorder="1" applyAlignment="1" applyProtection="1">
      <alignment horizontal="center" wrapText="1"/>
    </xf>
    <xf numFmtId="0" fontId="35" fillId="9" borderId="45" xfId="3" applyFont="1" applyFill="1" applyBorder="1" applyAlignment="1" applyProtection="1">
      <alignment horizontal="center"/>
    </xf>
    <xf numFmtId="0" fontId="35" fillId="9" borderId="0" xfId="3" applyFont="1" applyFill="1" applyBorder="1" applyAlignment="1" applyProtection="1">
      <alignment horizontal="center"/>
    </xf>
    <xf numFmtId="0" fontId="29" fillId="9" borderId="45" xfId="3" applyFill="1" applyBorder="1" applyProtection="1"/>
    <xf numFmtId="0" fontId="29" fillId="9" borderId="2" xfId="3" applyFill="1" applyBorder="1" applyAlignment="1">
      <alignment horizontal="center"/>
    </xf>
    <xf numFmtId="0" fontId="29" fillId="9" borderId="2" xfId="3" applyFill="1" applyBorder="1" applyAlignment="1" applyProtection="1">
      <alignment horizontal="center"/>
    </xf>
    <xf numFmtId="0" fontId="29" fillId="9" borderId="2" xfId="3" applyFill="1" applyBorder="1" applyProtection="1"/>
    <xf numFmtId="0" fontId="20" fillId="9" borderId="2" xfId="3" applyFont="1" applyFill="1" applyBorder="1" applyAlignment="1" applyProtection="1">
      <alignment horizontal="center"/>
    </xf>
    <xf numFmtId="0" fontId="35" fillId="9" borderId="28" xfId="3" applyFont="1" applyFill="1" applyBorder="1" applyAlignment="1" applyProtection="1">
      <alignment horizontal="center"/>
    </xf>
    <xf numFmtId="0" fontId="35" fillId="9" borderId="2" xfId="3" applyFont="1" applyFill="1" applyBorder="1" applyAlignment="1" applyProtection="1">
      <alignment horizontal="center"/>
    </xf>
    <xf numFmtId="0" fontId="29" fillId="9" borderId="28" xfId="3" applyFill="1" applyBorder="1" applyProtection="1"/>
    <xf numFmtId="0" fontId="29" fillId="9" borderId="2" xfId="3" applyFill="1" applyBorder="1"/>
    <xf numFmtId="0" fontId="31" fillId="0" borderId="0" xfId="3" applyFont="1" applyBorder="1" applyProtection="1"/>
    <xf numFmtId="166" fontId="29" fillId="0" borderId="0" xfId="3" applyNumberFormat="1" applyBorder="1" applyProtection="1"/>
    <xf numFmtId="167" fontId="29" fillId="0" borderId="0" xfId="3" applyNumberFormat="1" applyBorder="1" applyProtection="1"/>
    <xf numFmtId="0" fontId="20" fillId="0" borderId="0" xfId="3" applyFont="1" applyBorder="1" applyAlignment="1" applyProtection="1">
      <alignment horizontal="center"/>
    </xf>
    <xf numFmtId="0" fontId="29" fillId="0" borderId="0" xfId="3" applyBorder="1" applyAlignment="1" applyProtection="1">
      <alignment horizontal="left"/>
    </xf>
    <xf numFmtId="169" fontId="29" fillId="0" borderId="0" xfId="3" applyNumberFormat="1" applyBorder="1" applyProtection="1"/>
    <xf numFmtId="170" fontId="29" fillId="0" borderId="0" xfId="3" applyNumberFormat="1" applyBorder="1" applyProtection="1"/>
    <xf numFmtId="2" fontId="35" fillId="0" borderId="45" xfId="3" applyNumberFormat="1" applyFont="1" applyBorder="1" applyAlignment="1">
      <alignment horizontal="center"/>
    </xf>
    <xf numFmtId="1" fontId="35" fillId="0" borderId="0" xfId="3" applyNumberFormat="1" applyFont="1" applyBorder="1" applyAlignment="1" applyProtection="1">
      <alignment horizontal="center"/>
    </xf>
    <xf numFmtId="2" fontId="35" fillId="0" borderId="0" xfId="3" applyNumberFormat="1" applyFont="1" applyBorder="1" applyAlignment="1" applyProtection="1">
      <alignment horizontal="center"/>
    </xf>
    <xf numFmtId="0" fontId="29" fillId="0" borderId="45" xfId="3" applyBorder="1" applyProtection="1"/>
    <xf numFmtId="171" fontId="29" fillId="0" borderId="0" xfId="3" applyNumberFormat="1" applyBorder="1" applyProtection="1"/>
    <xf numFmtId="0" fontId="29" fillId="0" borderId="45" xfId="3" applyBorder="1"/>
    <xf numFmtId="166" fontId="20" fillId="0" borderId="0" xfId="3" applyNumberFormat="1" applyFont="1" applyBorder="1" applyAlignment="1" applyProtection="1">
      <alignment horizontal="center"/>
    </xf>
    <xf numFmtId="0" fontId="20" fillId="16" borderId="0" xfId="3" applyFont="1" applyFill="1" applyBorder="1" applyProtection="1"/>
    <xf numFmtId="0" fontId="29" fillId="0" borderId="45" xfId="3" applyFont="1" applyBorder="1" applyProtection="1"/>
    <xf numFmtId="0" fontId="29" fillId="0" borderId="0" xfId="3" applyFont="1" applyBorder="1" applyProtection="1"/>
    <xf numFmtId="172" fontId="20" fillId="16" borderId="0" xfId="5" applyNumberFormat="1" applyFont="1" applyFill="1" applyBorder="1" applyProtection="1"/>
    <xf numFmtId="0" fontId="29" fillId="0" borderId="45" xfId="3" applyFont="1" applyFill="1" applyBorder="1" applyProtection="1"/>
    <xf numFmtId="0" fontId="37" fillId="0" borderId="45" xfId="3" applyFont="1" applyFill="1" applyBorder="1"/>
    <xf numFmtId="1" fontId="29" fillId="0" borderId="0" xfId="3" applyNumberFormat="1" applyBorder="1" applyProtection="1"/>
    <xf numFmtId="0" fontId="20" fillId="16" borderId="0" xfId="3" applyFont="1" applyFill="1" applyBorder="1"/>
    <xf numFmtId="0" fontId="29" fillId="0" borderId="0" xfId="3" applyFont="1" applyFill="1" applyBorder="1" applyProtection="1"/>
    <xf numFmtId="2" fontId="29" fillId="0" borderId="0" xfId="3" applyNumberFormat="1" applyBorder="1" applyProtection="1"/>
    <xf numFmtId="0" fontId="32" fillId="0" borderId="0" xfId="3" applyFont="1" applyBorder="1" applyProtection="1"/>
    <xf numFmtId="0" fontId="38" fillId="0" borderId="45" xfId="3" applyFont="1" applyBorder="1" applyProtection="1"/>
    <xf numFmtId="0" fontId="38" fillId="0" borderId="0" xfId="3" applyFont="1" applyBorder="1"/>
    <xf numFmtId="0" fontId="38" fillId="0" borderId="0" xfId="3" applyFont="1" applyBorder="1" applyProtection="1"/>
    <xf numFmtId="0" fontId="29" fillId="0" borderId="0" xfId="3" applyFont="1" applyBorder="1" applyAlignment="1">
      <alignment horizontal="right"/>
    </xf>
    <xf numFmtId="0" fontId="20" fillId="16" borderId="0" xfId="3" applyFont="1" applyFill="1" applyBorder="1" applyAlignment="1">
      <alignment horizontal="left"/>
    </xf>
    <xf numFmtId="0" fontId="29" fillId="0" borderId="0" xfId="3" applyFill="1" applyBorder="1" applyProtection="1"/>
    <xf numFmtId="0" fontId="20" fillId="0" borderId="0" xfId="3" applyFont="1" applyFill="1" applyBorder="1" applyProtection="1"/>
    <xf numFmtId="169" fontId="20" fillId="0" borderId="0" xfId="3" applyNumberFormat="1" applyFont="1" applyBorder="1" applyAlignment="1" applyProtection="1">
      <alignment horizontal="center"/>
    </xf>
    <xf numFmtId="0" fontId="29" fillId="0" borderId="0" xfId="3" applyFont="1" applyBorder="1"/>
    <xf numFmtId="0" fontId="29" fillId="0" borderId="0" xfId="3" applyBorder="1" applyAlignment="1">
      <alignment horizontal="center"/>
    </xf>
    <xf numFmtId="0" fontId="29" fillId="0" borderId="0" xfId="3" applyFont="1" applyFill="1" applyBorder="1"/>
    <xf numFmtId="0" fontId="29" fillId="0" borderId="0" xfId="3" applyFill="1" applyBorder="1" applyAlignment="1" applyProtection="1">
      <alignment horizontal="center"/>
    </xf>
    <xf numFmtId="164" fontId="29" fillId="0" borderId="0" xfId="3" applyNumberFormat="1" applyBorder="1" applyProtection="1"/>
    <xf numFmtId="0" fontId="29" fillId="0" borderId="0" xfId="3" applyFont="1" applyBorder="1" applyAlignment="1" applyProtection="1">
      <alignment horizontal="left"/>
    </xf>
    <xf numFmtId="0" fontId="29" fillId="0" borderId="0" xfId="3" applyFont="1" applyBorder="1" applyAlignment="1">
      <alignment horizontal="left"/>
    </xf>
    <xf numFmtId="164" fontId="29" fillId="0" borderId="0" xfId="3" applyNumberFormat="1" applyBorder="1"/>
    <xf numFmtId="0" fontId="29" fillId="0" borderId="45" xfId="3" applyFill="1" applyBorder="1" applyProtection="1"/>
    <xf numFmtId="0" fontId="29" fillId="0" borderId="0" xfId="3" applyFill="1" applyBorder="1"/>
    <xf numFmtId="164" fontId="29" fillId="0" borderId="0" xfId="3" applyNumberFormat="1" applyFill="1" applyBorder="1" applyProtection="1"/>
    <xf numFmtId="0" fontId="0" fillId="0" borderId="0" xfId="5" applyNumberFormat="1" applyFont="1" applyBorder="1" applyAlignment="1" applyProtection="1">
      <alignment horizontal="right"/>
    </xf>
    <xf numFmtId="168" fontId="20" fillId="0" borderId="0" xfId="3" applyNumberFormat="1" applyFont="1" applyBorder="1" applyAlignment="1" applyProtection="1">
      <alignment horizontal="center"/>
    </xf>
    <xf numFmtId="0" fontId="35" fillId="0" borderId="45" xfId="3" applyFont="1" applyBorder="1" applyAlignment="1">
      <alignment horizontal="center"/>
    </xf>
    <xf numFmtId="0" fontId="35" fillId="0" borderId="0" xfId="3" applyFont="1" applyBorder="1" applyAlignment="1" applyProtection="1">
      <alignment horizontal="center"/>
    </xf>
    <xf numFmtId="0" fontId="20" fillId="0" borderId="0" xfId="3" applyFont="1" applyBorder="1" applyAlignment="1">
      <alignment horizontal="center"/>
    </xf>
    <xf numFmtId="0" fontId="35" fillId="0" borderId="0" xfId="3" applyFont="1" applyBorder="1" applyAlignment="1">
      <alignment horizontal="center"/>
    </xf>
    <xf numFmtId="0" fontId="3" fillId="0" borderId="0" xfId="0" applyFont="1" applyProtection="1"/>
    <xf numFmtId="0" fontId="0" fillId="7" borderId="0" xfId="0" applyFill="1" applyProtection="1"/>
    <xf numFmtId="0" fontId="0" fillId="0" borderId="0" xfId="0" quotePrefix="1" applyProtection="1"/>
    <xf numFmtId="0" fontId="5" fillId="0" borderId="0" xfId="0" applyFont="1" applyFill="1" applyProtection="1"/>
    <xf numFmtId="0" fontId="0" fillId="0" borderId="0" xfId="0" applyFill="1" applyProtection="1"/>
    <xf numFmtId="0" fontId="4" fillId="0" borderId="0" xfId="0" applyFont="1" applyProtection="1"/>
    <xf numFmtId="0" fontId="0" fillId="4" borderId="0" xfId="0" applyFill="1" applyProtection="1"/>
    <xf numFmtId="0" fontId="2" fillId="0" borderId="0" xfId="0" quotePrefix="1" applyFont="1" applyProtection="1"/>
    <xf numFmtId="0" fontId="2" fillId="0" borderId="0" xfId="0" applyFont="1" applyAlignment="1" applyProtection="1">
      <alignment horizontal="right"/>
    </xf>
    <xf numFmtId="0" fontId="13" fillId="0" borderId="0" xfId="0" applyFont="1" applyFill="1" applyProtection="1"/>
    <xf numFmtId="0" fontId="0" fillId="12" borderId="0" xfId="0" applyFill="1" applyProtection="1"/>
    <xf numFmtId="0" fontId="4" fillId="0" borderId="0" xfId="0" applyFont="1" applyFill="1" applyBorder="1" applyProtection="1"/>
    <xf numFmtId="0" fontId="0" fillId="0" borderId="0" xfId="0" applyFill="1" applyBorder="1" applyProtection="1"/>
    <xf numFmtId="0" fontId="0" fillId="6" borderId="0" xfId="0" applyFill="1" applyProtection="1"/>
    <xf numFmtId="0" fontId="0" fillId="13" borderId="0" xfId="0" applyFill="1" applyBorder="1" applyProtection="1"/>
    <xf numFmtId="0" fontId="2" fillId="0" borderId="0" xfId="0" quotePrefix="1" applyFont="1" applyFill="1" applyBorder="1" applyProtection="1"/>
    <xf numFmtId="2" fontId="0" fillId="12" borderId="11" xfId="0" applyNumberFormat="1" applyFill="1" applyBorder="1" applyAlignment="1" applyProtection="1">
      <alignment horizontal="center"/>
    </xf>
    <xf numFmtId="0" fontId="0" fillId="5" borderId="0" xfId="0" applyFill="1" applyBorder="1" applyAlignment="1" applyProtection="1">
      <alignment horizontal="center"/>
    </xf>
    <xf numFmtId="0" fontId="2" fillId="0" borderId="0" xfId="0" quotePrefix="1" applyFont="1" applyFill="1" applyBorder="1" applyAlignment="1" applyProtection="1">
      <alignment horizontal="left"/>
    </xf>
    <xf numFmtId="0" fontId="0" fillId="0" borderId="0" xfId="0" applyFill="1" applyBorder="1" applyAlignment="1" applyProtection="1">
      <alignment horizontal="center"/>
    </xf>
    <xf numFmtId="0" fontId="22" fillId="0" borderId="0" xfId="0" applyFont="1" applyProtection="1"/>
    <xf numFmtId="0" fontId="2" fillId="0" borderId="0" xfId="0" applyFont="1" applyBorder="1" applyAlignment="1" applyProtection="1">
      <alignment horizontal="right"/>
    </xf>
    <xf numFmtId="2" fontId="2" fillId="0" borderId="0" xfId="0" applyNumberFormat="1" applyFont="1" applyFill="1" applyBorder="1" applyAlignment="1" applyProtection="1">
      <alignment horizontal="left"/>
    </xf>
    <xf numFmtId="3" fontId="0" fillId="12" borderId="11" xfId="0" applyNumberFormat="1" applyFill="1" applyBorder="1" applyAlignment="1" applyProtection="1">
      <alignment horizontal="center"/>
    </xf>
    <xf numFmtId="0" fontId="0" fillId="0" borderId="0" xfId="0" applyFill="1" applyBorder="1" applyAlignment="1" applyProtection="1">
      <alignment horizontal="right"/>
    </xf>
    <xf numFmtId="0" fontId="2" fillId="0" borderId="0" xfId="0" applyFont="1" applyFill="1" applyBorder="1" applyAlignment="1" applyProtection="1">
      <alignment horizontal="left"/>
    </xf>
    <xf numFmtId="0" fontId="0" fillId="0" borderId="0" xfId="0" applyAlignment="1" applyProtection="1">
      <alignment horizontal="right"/>
    </xf>
    <xf numFmtId="0" fontId="0" fillId="6" borderId="11" xfId="0" applyFill="1" applyBorder="1" applyAlignment="1" applyProtection="1">
      <alignment horizontal="center"/>
    </xf>
    <xf numFmtId="0" fontId="6" fillId="6" borderId="11" xfId="0" applyFont="1" applyFill="1" applyBorder="1" applyAlignment="1" applyProtection="1">
      <alignment horizontal="center"/>
    </xf>
    <xf numFmtId="0" fontId="2" fillId="0" borderId="0" xfId="0" applyFont="1" applyFill="1" applyBorder="1" applyAlignment="1" applyProtection="1">
      <alignment horizontal="right"/>
    </xf>
    <xf numFmtId="0" fontId="2" fillId="0" borderId="0" xfId="0" applyFont="1" applyFill="1" applyBorder="1" applyProtection="1"/>
    <xf numFmtId="164" fontId="0" fillId="12" borderId="11" xfId="0" applyNumberFormat="1" applyFill="1" applyBorder="1" applyAlignment="1" applyProtection="1">
      <alignment horizontal="center"/>
    </xf>
    <xf numFmtId="0" fontId="2" fillId="0" borderId="0" xfId="0" applyFont="1" applyAlignment="1" applyProtection="1">
      <alignment horizontal="left"/>
    </xf>
    <xf numFmtId="164" fontId="0" fillId="0" borderId="0" xfId="0" applyNumberFormat="1" applyFill="1" applyBorder="1" applyAlignment="1" applyProtection="1">
      <alignment horizontal="center"/>
    </xf>
    <xf numFmtId="0" fontId="2" fillId="0" borderId="0" xfId="0" applyFont="1" applyBorder="1" applyAlignment="1" applyProtection="1">
      <alignment horizontal="right" vertical="center"/>
    </xf>
    <xf numFmtId="0" fontId="2" fillId="0" borderId="0" xfId="0" applyFont="1" applyAlignment="1" applyProtection="1">
      <alignment horizontal="right" vertical="center"/>
    </xf>
    <xf numFmtId="0" fontId="17" fillId="0" borderId="21" xfId="0" applyFont="1" applyBorder="1" applyAlignment="1" applyProtection="1">
      <alignment horizontal="left" vertical="top"/>
    </xf>
    <xf numFmtId="0" fontId="0" fillId="0" borderId="0" xfId="0" applyBorder="1" applyProtection="1"/>
    <xf numFmtId="0" fontId="5" fillId="10" borderId="30" xfId="0" applyFont="1" applyFill="1" applyBorder="1" applyAlignment="1" applyProtection="1">
      <alignment horizontal="left" wrapText="1"/>
    </xf>
    <xf numFmtId="1" fontId="23" fillId="10" borderId="24" xfId="0" applyNumberFormat="1" applyFont="1" applyFill="1" applyBorder="1" applyAlignment="1" applyProtection="1">
      <alignment horizontal="center" vertical="center"/>
    </xf>
    <xf numFmtId="0" fontId="0" fillId="0" borderId="21" xfId="0" applyBorder="1" applyAlignment="1" applyProtection="1">
      <alignment horizontal="right"/>
    </xf>
    <xf numFmtId="1" fontId="0" fillId="6" borderId="11" xfId="0" applyNumberFormat="1" applyFill="1" applyBorder="1" applyAlignment="1" applyProtection="1">
      <alignment horizontal="center"/>
    </xf>
    <xf numFmtId="0" fontId="5" fillId="0" borderId="0" xfId="0" applyFont="1" applyBorder="1" applyProtection="1"/>
    <xf numFmtId="3" fontId="0" fillId="6" borderId="11" xfId="0" applyNumberFormat="1" applyFill="1" applyBorder="1" applyAlignment="1" applyProtection="1">
      <alignment horizontal="center"/>
    </xf>
    <xf numFmtId="0" fontId="5" fillId="0" borderId="0" xfId="0" applyFont="1" applyBorder="1" applyAlignment="1" applyProtection="1">
      <alignment vertical="center"/>
    </xf>
    <xf numFmtId="0" fontId="4" fillId="0" borderId="0" xfId="0" applyFont="1" applyBorder="1" applyAlignment="1" applyProtection="1">
      <alignment horizontal="left"/>
    </xf>
    <xf numFmtId="1" fontId="2" fillId="14" borderId="11" xfId="0" applyNumberFormat="1" applyFont="1" applyFill="1" applyBorder="1" applyAlignment="1" applyProtection="1">
      <alignment horizontal="center"/>
    </xf>
    <xf numFmtId="0" fontId="2" fillId="0" borderId="44" xfId="0" applyFont="1" applyBorder="1" applyAlignment="1" applyProtection="1">
      <alignment horizontal="left"/>
    </xf>
    <xf numFmtId="0" fontId="2" fillId="0" borderId="30" xfId="0" applyFont="1" applyBorder="1" applyAlignment="1" applyProtection="1">
      <alignment horizontal="center" wrapText="1"/>
    </xf>
    <xf numFmtId="1" fontId="0" fillId="0" borderId="31" xfId="0" applyNumberFormat="1" applyBorder="1" applyAlignment="1" applyProtection="1">
      <alignment horizontal="center" wrapText="1"/>
    </xf>
    <xf numFmtId="0" fontId="5" fillId="0" borderId="26" xfId="0" applyFont="1" applyBorder="1" applyAlignment="1" applyProtection="1">
      <alignment horizontal="center"/>
    </xf>
    <xf numFmtId="0" fontId="0" fillId="5" borderId="21" xfId="0" applyFill="1" applyBorder="1" applyAlignment="1" applyProtection="1">
      <alignment horizontal="right"/>
    </xf>
    <xf numFmtId="164" fontId="0" fillId="5" borderId="11" xfId="0" applyNumberFormat="1" applyFill="1" applyBorder="1" applyAlignment="1" applyProtection="1">
      <alignment horizontal="center"/>
    </xf>
    <xf numFmtId="164" fontId="0" fillId="13" borderId="11" xfId="0" applyNumberFormat="1" applyFill="1" applyBorder="1" applyAlignment="1" applyProtection="1">
      <alignment horizontal="center"/>
    </xf>
    <xf numFmtId="0" fontId="4" fillId="0" borderId="0" xfId="0" applyFont="1" applyBorder="1" applyProtection="1"/>
    <xf numFmtId="0" fontId="2" fillId="0" borderId="22" xfId="0" applyFont="1" applyBorder="1" applyProtection="1"/>
    <xf numFmtId="0" fontId="2" fillId="9" borderId="25" xfId="0" applyFont="1" applyFill="1" applyBorder="1" applyAlignment="1" applyProtection="1">
      <alignment horizontal="center"/>
    </xf>
    <xf numFmtId="1" fontId="0" fillId="9" borderId="11" xfId="0" applyNumberFormat="1" applyFill="1" applyBorder="1" applyAlignment="1" applyProtection="1">
      <alignment horizontal="center"/>
    </xf>
    <xf numFmtId="0" fontId="0" fillId="5" borderId="1" xfId="0" applyFill="1" applyBorder="1" applyAlignment="1" applyProtection="1">
      <alignment horizontal="right"/>
    </xf>
    <xf numFmtId="1" fontId="0" fillId="5" borderId="23" xfId="0" applyNumberFormat="1" applyFill="1" applyBorder="1" applyAlignment="1" applyProtection="1">
      <alignment horizontal="center"/>
    </xf>
    <xf numFmtId="0" fontId="5" fillId="0" borderId="2" xfId="0" applyFont="1" applyBorder="1" applyProtection="1"/>
    <xf numFmtId="3" fontId="0" fillId="13" borderId="23" xfId="0" applyNumberFormat="1" applyFill="1" applyBorder="1" applyAlignment="1" applyProtection="1">
      <alignment horizontal="center"/>
    </xf>
    <xf numFmtId="0" fontId="0" fillId="0" borderId="2" xfId="0" applyBorder="1" applyProtection="1"/>
    <xf numFmtId="0" fontId="5" fillId="11" borderId="23" xfId="0" applyFont="1" applyFill="1" applyBorder="1" applyProtection="1"/>
    <xf numFmtId="0" fontId="14" fillId="0" borderId="9" xfId="0" applyFont="1" applyBorder="1" applyProtection="1"/>
    <xf numFmtId="0" fontId="9" fillId="0" borderId="0" xfId="0" applyFont="1" applyProtection="1"/>
    <xf numFmtId="0" fontId="2" fillId="0" borderId="25" xfId="0" applyFont="1" applyBorder="1" applyAlignment="1" applyProtection="1">
      <alignment horizontal="center"/>
    </xf>
    <xf numFmtId="1" fontId="0" fillId="0" borderId="11" xfId="0" applyNumberFormat="1" applyBorder="1" applyAlignment="1" applyProtection="1">
      <alignment horizontal="center"/>
    </xf>
    <xf numFmtId="165" fontId="2" fillId="9" borderId="11" xfId="0" applyNumberFormat="1" applyFont="1" applyFill="1" applyBorder="1" applyAlignment="1" applyProtection="1">
      <alignment horizontal="center"/>
    </xf>
    <xf numFmtId="3" fontId="2" fillId="9" borderId="42" xfId="0" applyNumberFormat="1" applyFont="1" applyFill="1" applyBorder="1" applyAlignment="1" applyProtection="1">
      <alignment horizontal="right"/>
    </xf>
    <xf numFmtId="165" fontId="2" fillId="9" borderId="23" xfId="0" applyNumberFormat="1" applyFont="1" applyFill="1" applyBorder="1" applyAlignment="1" applyProtection="1">
      <alignment horizontal="center"/>
    </xf>
    <xf numFmtId="0" fontId="2" fillId="9" borderId="43" xfId="0" applyFont="1" applyFill="1" applyBorder="1" applyAlignment="1" applyProtection="1">
      <alignment horizontal="right"/>
    </xf>
    <xf numFmtId="0" fontId="5" fillId="0" borderId="29" xfId="0" applyFont="1" applyBorder="1" applyAlignment="1" applyProtection="1">
      <alignment horizontal="center"/>
    </xf>
    <xf numFmtId="164" fontId="0" fillId="6" borderId="11" xfId="0" applyNumberFormat="1" applyFill="1" applyBorder="1" applyAlignment="1" applyProtection="1">
      <alignment horizontal="center"/>
    </xf>
    <xf numFmtId="0" fontId="0" fillId="0" borderId="22" xfId="0" applyBorder="1" applyProtection="1"/>
    <xf numFmtId="0" fontId="12" fillId="0" borderId="0" xfId="0" applyFont="1" applyFill="1" applyBorder="1" applyProtection="1"/>
    <xf numFmtId="0" fontId="2" fillId="0" borderId="21" xfId="0" applyFont="1" applyBorder="1" applyAlignment="1" applyProtection="1">
      <alignment horizontal="right"/>
    </xf>
    <xf numFmtId="0" fontId="4" fillId="0" borderId="22" xfId="0" applyFont="1" applyBorder="1" applyProtection="1"/>
    <xf numFmtId="0" fontId="2" fillId="5" borderId="21" xfId="0" applyFont="1" applyFill="1" applyBorder="1" applyAlignment="1" applyProtection="1">
      <alignment horizontal="right"/>
    </xf>
    <xf numFmtId="1" fontId="0" fillId="5" borderId="11" xfId="0" applyNumberFormat="1" applyFill="1" applyBorder="1" applyAlignment="1" applyProtection="1">
      <alignment horizontal="center"/>
    </xf>
    <xf numFmtId="3" fontId="2" fillId="13" borderId="11" xfId="0" applyNumberFormat="1" applyFont="1" applyFill="1" applyBorder="1" applyAlignment="1" applyProtection="1">
      <alignment horizontal="center"/>
    </xf>
    <xf numFmtId="0" fontId="5" fillId="11" borderId="11" xfId="0" applyFont="1" applyFill="1" applyBorder="1" applyProtection="1"/>
    <xf numFmtId="0" fontId="14" fillId="0" borderId="22" xfId="0" applyFont="1" applyBorder="1" applyProtection="1"/>
    <xf numFmtId="165" fontId="0" fillId="5" borderId="23" xfId="0" applyNumberFormat="1" applyFill="1" applyBorder="1" applyAlignment="1" applyProtection="1">
      <alignment horizontal="center"/>
    </xf>
    <xf numFmtId="165" fontId="0" fillId="13" borderId="23" xfId="0" applyNumberFormat="1" applyFill="1" applyBorder="1" applyAlignment="1" applyProtection="1">
      <alignment horizontal="center"/>
    </xf>
    <xf numFmtId="0" fontId="4" fillId="0" borderId="2" xfId="0" applyFont="1" applyBorder="1" applyProtection="1"/>
    <xf numFmtId="0" fontId="4" fillId="0" borderId="9" xfId="0" applyFont="1" applyBorder="1" applyProtection="1"/>
    <xf numFmtId="0" fontId="0" fillId="0" borderId="9" xfId="0" applyBorder="1" applyProtection="1"/>
    <xf numFmtId="0" fontId="0" fillId="6" borderId="11" xfId="0" applyNumberFormat="1" applyFill="1" applyBorder="1" applyAlignment="1" applyProtection="1">
      <alignment horizontal="center" vertical="center"/>
    </xf>
    <xf numFmtId="0" fontId="5" fillId="0" borderId="0" xfId="0" applyFont="1" applyFill="1" applyBorder="1" applyProtection="1"/>
    <xf numFmtId="164" fontId="0" fillId="6" borderId="11" xfId="0" applyNumberFormat="1" applyFill="1" applyBorder="1" applyAlignment="1" applyProtection="1">
      <alignment horizontal="center" vertical="center"/>
    </xf>
    <xf numFmtId="0" fontId="2" fillId="0" borderId="0" xfId="0" applyFont="1" applyBorder="1" applyProtection="1"/>
    <xf numFmtId="1" fontId="2" fillId="6" borderId="11" xfId="0" applyNumberFormat="1" applyFont="1" applyFill="1" applyBorder="1" applyAlignment="1" applyProtection="1">
      <alignment horizontal="center" vertical="center"/>
    </xf>
    <xf numFmtId="3" fontId="0" fillId="6" borderId="11" xfId="0" applyNumberFormat="1" applyFill="1" applyBorder="1" applyAlignment="1" applyProtection="1">
      <alignment horizontal="center" vertical="center"/>
    </xf>
    <xf numFmtId="1" fontId="0" fillId="5" borderId="11" xfId="0" applyNumberFormat="1" applyFill="1" applyBorder="1" applyAlignment="1" applyProtection="1">
      <alignment horizontal="center" vertical="center"/>
    </xf>
    <xf numFmtId="3" fontId="0" fillId="13" borderId="11" xfId="0" applyNumberFormat="1" applyFill="1" applyBorder="1" applyAlignment="1" applyProtection="1">
      <alignment horizontal="center" vertical="center"/>
    </xf>
    <xf numFmtId="165" fontId="0" fillId="5" borderId="11" xfId="0" applyNumberFormat="1" applyFill="1" applyBorder="1" applyAlignment="1" applyProtection="1">
      <alignment horizontal="center" vertical="center"/>
    </xf>
    <xf numFmtId="165" fontId="0" fillId="13" borderId="11" xfId="0" applyNumberFormat="1" applyFill="1" applyBorder="1" applyAlignment="1" applyProtection="1">
      <alignment horizontal="center" vertical="center"/>
    </xf>
    <xf numFmtId="0" fontId="0" fillId="3" borderId="0" xfId="0" applyFill="1" applyBorder="1" applyProtection="1"/>
    <xf numFmtId="0" fontId="0" fillId="3" borderId="0" xfId="0" applyFill="1" applyBorder="1" applyAlignment="1" applyProtection="1">
      <alignment horizontal="right"/>
    </xf>
    <xf numFmtId="0" fontId="0" fillId="0" borderId="21" xfId="0" applyBorder="1" applyProtection="1"/>
    <xf numFmtId="0" fontId="2" fillId="0" borderId="12" xfId="0" applyFont="1" applyBorder="1" applyAlignment="1" applyProtection="1">
      <alignment horizontal="center"/>
    </xf>
    <xf numFmtId="0" fontId="0" fillId="0" borderId="12" xfId="0" applyBorder="1" applyAlignment="1" applyProtection="1">
      <alignment horizontal="center"/>
    </xf>
    <xf numFmtId="164" fontId="0" fillId="0" borderId="12" xfId="0" applyNumberFormat="1" applyBorder="1" applyAlignment="1" applyProtection="1">
      <alignment horizontal="center"/>
    </xf>
    <xf numFmtId="0" fontId="0" fillId="0" borderId="1" xfId="0" applyBorder="1" applyProtection="1"/>
    <xf numFmtId="0" fontId="0" fillId="0" borderId="0" xfId="0" applyBorder="1" applyAlignment="1" applyProtection="1">
      <alignment horizontal="center"/>
    </xf>
    <xf numFmtId="0" fontId="0" fillId="0" borderId="0" xfId="0" applyBorder="1" applyAlignment="1" applyProtection="1"/>
    <xf numFmtId="0" fontId="10" fillId="0" borderId="0" xfId="0" applyFont="1" applyBorder="1" applyAlignment="1" applyProtection="1">
      <alignment horizontal="center"/>
    </xf>
    <xf numFmtId="0" fontId="10" fillId="0" borderId="0" xfId="0" applyFont="1" applyBorder="1" applyProtection="1"/>
    <xf numFmtId="0" fontId="11" fillId="0" borderId="0" xfId="0" applyFont="1" applyBorder="1" applyProtection="1"/>
    <xf numFmtId="0" fontId="10" fillId="0" borderId="0" xfId="0" applyFont="1" applyBorder="1" applyAlignment="1" applyProtection="1">
      <alignment horizontal="right"/>
    </xf>
    <xf numFmtId="0" fontId="0" fillId="0" borderId="0" xfId="0" applyFill="1" applyAlignment="1" applyProtection="1">
      <alignment horizontal="right"/>
    </xf>
    <xf numFmtId="0" fontId="9" fillId="0" borderId="0" xfId="0" applyFont="1" applyAlignment="1" applyProtection="1">
      <alignment horizontal="right"/>
    </xf>
    <xf numFmtId="0" fontId="6" fillId="0" borderId="0" xfId="0" applyFont="1" applyBorder="1" applyProtection="1"/>
    <xf numFmtId="0" fontId="5" fillId="0" borderId="0" xfId="0" applyFont="1" applyFill="1" applyProtection="1">
      <protection locked="0"/>
    </xf>
    <xf numFmtId="164" fontId="0" fillId="0" borderId="0" xfId="0" applyNumberFormat="1" applyFill="1" applyBorder="1" applyAlignment="1" applyProtection="1">
      <alignment horizontal="center"/>
      <protection locked="0"/>
    </xf>
    <xf numFmtId="0" fontId="5" fillId="0" borderId="0" xfId="0" applyFont="1" applyProtection="1">
      <protection locked="0"/>
    </xf>
    <xf numFmtId="0" fontId="2" fillId="0" borderId="0" xfId="0" applyFont="1" applyAlignment="1" applyProtection="1">
      <alignment horizontal="left"/>
      <protection locked="0"/>
    </xf>
    <xf numFmtId="0" fontId="5" fillId="7" borderId="3" xfId="0" applyFont="1" applyFill="1" applyBorder="1" applyProtection="1"/>
    <xf numFmtId="0" fontId="0" fillId="7" borderId="4" xfId="0" applyFill="1" applyBorder="1" applyProtection="1"/>
    <xf numFmtId="0" fontId="0" fillId="7" borderId="4" xfId="0" applyFill="1" applyBorder="1" applyAlignment="1" applyProtection="1">
      <alignment horizontal="center"/>
    </xf>
    <xf numFmtId="0" fontId="0" fillId="7" borderId="7" xfId="0" applyFill="1" applyBorder="1" applyAlignment="1" applyProtection="1">
      <alignment horizontal="center"/>
    </xf>
    <xf numFmtId="0" fontId="0" fillId="7" borderId="5" xfId="0" applyFill="1" applyBorder="1" applyAlignment="1" applyProtection="1">
      <alignment horizontal="right"/>
    </xf>
    <xf numFmtId="0" fontId="0" fillId="7" borderId="6" xfId="0" applyFill="1" applyBorder="1" applyProtection="1"/>
    <xf numFmtId="0" fontId="0" fillId="7" borderId="1" xfId="0" applyFill="1" applyBorder="1" applyAlignment="1" applyProtection="1">
      <alignment horizontal="right"/>
    </xf>
    <xf numFmtId="0" fontId="0" fillId="7" borderId="2" xfId="0" applyFill="1" applyBorder="1" applyProtection="1"/>
    <xf numFmtId="0" fontId="0" fillId="7" borderId="2" xfId="0" applyFill="1" applyBorder="1" applyAlignment="1" applyProtection="1">
      <alignment horizontal="center"/>
    </xf>
    <xf numFmtId="0" fontId="0" fillId="7" borderId="9" xfId="0" applyFill="1" applyBorder="1" applyAlignment="1" applyProtection="1">
      <alignment horizontal="center"/>
    </xf>
    <xf numFmtId="0" fontId="0" fillId="0" borderId="0" xfId="0" applyAlignment="1" applyProtection="1">
      <alignment vertical="top"/>
    </xf>
    <xf numFmtId="0" fontId="21" fillId="0" borderId="0" xfId="0" applyFont="1" applyAlignment="1" applyProtection="1">
      <alignment vertical="top"/>
    </xf>
    <xf numFmtId="0" fontId="16" fillId="8" borderId="17" xfId="2" applyAlignment="1" applyProtection="1">
      <alignment horizontal="center"/>
      <protection locked="0"/>
    </xf>
    <xf numFmtId="0" fontId="2" fillId="0" borderId="0" xfId="0" applyFont="1" applyProtection="1">
      <protection locked="0"/>
    </xf>
    <xf numFmtId="1" fontId="2" fillId="7" borderId="6" xfId="0" applyNumberFormat="1" applyFont="1" applyFill="1" applyBorder="1" applyAlignment="1" applyProtection="1">
      <alignment horizontal="center"/>
    </xf>
    <xf numFmtId="1" fontId="0" fillId="7" borderId="8" xfId="0" applyNumberFormat="1" applyFill="1" applyBorder="1" applyAlignment="1" applyProtection="1">
      <alignment horizontal="center"/>
    </xf>
    <xf numFmtId="4" fontId="16" fillId="6" borderId="17" xfId="2" applyNumberFormat="1" applyFill="1" applyAlignment="1" applyProtection="1">
      <alignment horizontal="center"/>
    </xf>
    <xf numFmtId="4" fontId="0" fillId="6" borderId="11" xfId="0" applyNumberFormat="1" applyFill="1" applyBorder="1" applyAlignment="1" applyProtection="1">
      <alignment horizontal="center"/>
    </xf>
    <xf numFmtId="0" fontId="16" fillId="0" borderId="46" xfId="2" applyNumberFormat="1" applyFill="1" applyBorder="1" applyAlignment="1" applyProtection="1">
      <alignment horizontal="center"/>
      <protection locked="0"/>
    </xf>
    <xf numFmtId="164" fontId="2" fillId="6" borderId="11" xfId="0" applyNumberFormat="1" applyFont="1" applyFill="1" applyBorder="1" applyAlignment="1" applyProtection="1">
      <alignment horizontal="center"/>
    </xf>
    <xf numFmtId="164" fontId="0" fillId="0" borderId="0" xfId="0" applyNumberFormat="1" applyProtection="1">
      <protection locked="0"/>
    </xf>
    <xf numFmtId="0" fontId="5" fillId="10" borderId="31" xfId="0" applyFont="1" applyFill="1" applyBorder="1" applyAlignment="1" applyProtection="1">
      <alignment horizontal="center" wrapText="1"/>
    </xf>
    <xf numFmtId="0" fontId="35" fillId="9" borderId="0" xfId="3" applyFont="1" applyFill="1" applyBorder="1" applyAlignment="1">
      <alignment horizontal="center"/>
    </xf>
    <xf numFmtId="0" fontId="5" fillId="0" borderId="33" xfId="0" applyFont="1" applyBorder="1" applyAlignment="1">
      <alignment horizontal="center" vertical="center"/>
    </xf>
    <xf numFmtId="0" fontId="5" fillId="0" borderId="0" xfId="0" applyFont="1" applyBorder="1" applyAlignment="1">
      <alignment horizontal="center" vertical="center"/>
    </xf>
    <xf numFmtId="0" fontId="5" fillId="0" borderId="37" xfId="0" applyFont="1" applyBorder="1" applyAlignment="1">
      <alignment horizontal="center" vertical="center"/>
    </xf>
    <xf numFmtId="0" fontId="5" fillId="0" borderId="0" xfId="0" applyFont="1" applyAlignment="1">
      <alignment horizontal="center" vertical="center"/>
    </xf>
    <xf numFmtId="0" fontId="2" fillId="0" borderId="0" xfId="0" applyFont="1" applyFill="1" applyBorder="1" applyAlignment="1" applyProtection="1">
      <alignment horizontal="center"/>
    </xf>
    <xf numFmtId="0" fontId="6" fillId="0" borderId="0" xfId="0" applyFont="1" applyFill="1" applyBorder="1" applyAlignment="1" applyProtection="1">
      <alignment horizontal="center"/>
    </xf>
    <xf numFmtId="3" fontId="2" fillId="0" borderId="0" xfId="0" applyNumberFormat="1" applyFont="1" applyFill="1" applyBorder="1" applyAlignment="1" applyProtection="1">
      <alignment horizontal="center"/>
    </xf>
    <xf numFmtId="0" fontId="2" fillId="0" borderId="0" xfId="0" applyFont="1" applyFill="1" applyBorder="1" applyAlignment="1" applyProtection="1">
      <alignment horizontal="center" vertical="center"/>
    </xf>
    <xf numFmtId="1" fontId="2" fillId="0" borderId="0" xfId="0" applyNumberFormat="1" applyFont="1" applyFill="1" applyBorder="1" applyAlignment="1" applyProtection="1">
      <alignment horizontal="center"/>
    </xf>
    <xf numFmtId="0" fontId="4" fillId="0" borderId="0" xfId="0" applyFont="1" applyProtection="1">
      <protection hidden="1"/>
    </xf>
    <xf numFmtId="0" fontId="4" fillId="0" borderId="0" xfId="0" applyFont="1" applyFill="1" applyBorder="1" applyAlignment="1" applyProtection="1">
      <alignment vertical="top" wrapText="1"/>
    </xf>
    <xf numFmtId="0" fontId="6" fillId="0" borderId="0" xfId="0" applyFont="1" applyBorder="1" applyAlignment="1" applyProtection="1">
      <alignment horizontal="right"/>
    </xf>
    <xf numFmtId="0" fontId="6" fillId="0" borderId="0" xfId="0" applyFont="1" applyAlignment="1" applyProtection="1">
      <alignment horizontal="right"/>
    </xf>
    <xf numFmtId="0" fontId="6" fillId="0" borderId="0" xfId="0" applyFont="1" applyProtection="1"/>
    <xf numFmtId="0" fontId="2" fillId="0" borderId="0" xfId="0" applyFont="1" applyAlignment="1" applyProtection="1">
      <alignment vertical="top" wrapText="1"/>
    </xf>
    <xf numFmtId="0" fontId="5" fillId="0" borderId="15" xfId="0" applyFont="1" applyBorder="1" applyAlignment="1" applyProtection="1">
      <alignment horizontal="center"/>
    </xf>
    <xf numFmtId="0" fontId="5" fillId="0" borderId="32" xfId="0" applyFont="1" applyBorder="1" applyAlignment="1" applyProtection="1">
      <alignment horizontal="center"/>
    </xf>
    <xf numFmtId="0" fontId="5" fillId="0" borderId="16" xfId="0" applyFont="1" applyBorder="1" applyAlignment="1" applyProtection="1">
      <alignment horizontal="center"/>
    </xf>
    <xf numFmtId="0" fontId="2" fillId="9" borderId="25" xfId="0" applyFont="1" applyFill="1" applyBorder="1" applyAlignment="1" applyProtection="1">
      <alignment horizontal="center" vertical="center"/>
    </xf>
    <xf numFmtId="0" fontId="2" fillId="9" borderId="27" xfId="0" applyFont="1" applyFill="1" applyBorder="1" applyAlignment="1" applyProtection="1">
      <alignment horizontal="center" vertical="center"/>
    </xf>
    <xf numFmtId="1" fontId="2" fillId="9" borderId="11" xfId="0" applyNumberFormat="1" applyFont="1" applyFill="1" applyBorder="1" applyAlignment="1" applyProtection="1">
      <alignment horizontal="center" vertical="center"/>
    </xf>
    <xf numFmtId="1" fontId="2" fillId="9" borderId="23" xfId="0" applyNumberFormat="1" applyFont="1" applyFill="1" applyBorder="1" applyAlignment="1" applyProtection="1">
      <alignment horizontal="center" vertical="center"/>
    </xf>
    <xf numFmtId="0" fontId="5" fillId="10" borderId="31" xfId="0" applyFont="1" applyFill="1" applyBorder="1" applyAlignment="1" applyProtection="1">
      <alignment horizontal="center" wrapText="1"/>
    </xf>
    <xf numFmtId="0" fontId="5" fillId="10" borderId="14" xfId="0" applyFont="1" applyFill="1" applyBorder="1" applyAlignment="1" applyProtection="1">
      <alignment horizontal="center" wrapText="1"/>
    </xf>
    <xf numFmtId="164" fontId="0" fillId="0" borderId="31" xfId="0" applyNumberFormat="1" applyBorder="1" applyAlignment="1" applyProtection="1">
      <alignment horizontal="center" wrapText="1"/>
    </xf>
    <xf numFmtId="164" fontId="0" fillId="0" borderId="14" xfId="0" applyNumberFormat="1" applyBorder="1" applyAlignment="1" applyProtection="1">
      <alignment horizontal="center" wrapText="1"/>
    </xf>
    <xf numFmtId="165" fontId="0" fillId="9" borderId="11" xfId="0" applyNumberFormat="1" applyFill="1" applyBorder="1" applyAlignment="1" applyProtection="1">
      <alignment horizontal="center"/>
    </xf>
    <xf numFmtId="165" fontId="0" fillId="9" borderId="42" xfId="0" applyNumberFormat="1" applyFill="1" applyBorder="1" applyAlignment="1" applyProtection="1">
      <alignment horizontal="center"/>
    </xf>
    <xf numFmtId="165" fontId="0" fillId="0" borderId="11" xfId="0" applyNumberFormat="1" applyBorder="1" applyAlignment="1" applyProtection="1">
      <alignment horizontal="center"/>
    </xf>
    <xf numFmtId="165" fontId="0" fillId="0" borderId="42" xfId="0" applyNumberFormat="1" applyBorder="1" applyAlignment="1" applyProtection="1">
      <alignment horizontal="center"/>
    </xf>
    <xf numFmtId="0" fontId="0" fillId="0" borderId="15" xfId="0" applyBorder="1" applyAlignment="1" applyProtection="1">
      <alignment horizontal="center"/>
    </xf>
    <xf numFmtId="0" fontId="0" fillId="0" borderId="16" xfId="0" applyBorder="1" applyAlignment="1" applyProtection="1">
      <alignment horizontal="center"/>
    </xf>
    <xf numFmtId="0" fontId="15" fillId="0" borderId="22" xfId="0" applyFont="1" applyBorder="1" applyAlignment="1" applyProtection="1">
      <alignment horizontal="center" vertical="center" wrapText="1"/>
    </xf>
    <xf numFmtId="0" fontId="18" fillId="6" borderId="18" xfId="0" applyFont="1" applyFill="1" applyBorder="1" applyAlignment="1" applyProtection="1">
      <alignment horizontal="left"/>
    </xf>
    <xf numFmtId="0" fontId="18" fillId="6" borderId="19" xfId="0" applyFont="1" applyFill="1" applyBorder="1" applyAlignment="1" applyProtection="1">
      <alignment horizontal="left"/>
    </xf>
    <xf numFmtId="0" fontId="18" fillId="6" borderId="20" xfId="0" applyFont="1" applyFill="1" applyBorder="1" applyAlignment="1" applyProtection="1">
      <alignment horizontal="left"/>
    </xf>
    <xf numFmtId="0" fontId="19" fillId="0" borderId="0" xfId="0" applyNumberFormat="1" applyFont="1" applyBorder="1" applyAlignment="1" applyProtection="1">
      <alignment horizontal="left" vertical="top" wrapText="1"/>
    </xf>
    <xf numFmtId="0" fontId="19" fillId="0" borderId="22" xfId="0" applyNumberFormat="1" applyFont="1" applyBorder="1" applyAlignment="1" applyProtection="1">
      <alignment horizontal="left" vertical="top" wrapText="1"/>
    </xf>
    <xf numFmtId="0" fontId="0" fillId="0" borderId="21" xfId="0" applyBorder="1" applyAlignment="1" applyProtection="1">
      <alignment horizontal="center" wrapText="1"/>
    </xf>
    <xf numFmtId="0" fontId="0" fillId="0" borderId="0" xfId="0" applyBorder="1" applyAlignment="1" applyProtection="1">
      <alignment horizontal="center" wrapText="1"/>
    </xf>
    <xf numFmtId="0" fontId="35" fillId="9" borderId="0" xfId="3" applyFont="1" applyFill="1" applyBorder="1" applyAlignment="1">
      <alignment horizontal="center"/>
    </xf>
    <xf numFmtId="0" fontId="5" fillId="0" borderId="33" xfId="0" applyFont="1" applyBorder="1" applyAlignment="1">
      <alignment horizontal="center" vertical="center"/>
    </xf>
    <xf numFmtId="0" fontId="5" fillId="0" borderId="0" xfId="0" applyFont="1" applyBorder="1" applyAlignment="1">
      <alignment horizontal="center" vertical="center"/>
    </xf>
    <xf numFmtId="0" fontId="5" fillId="0" borderId="37" xfId="0" applyFont="1" applyBorder="1" applyAlignment="1">
      <alignment horizontal="center" vertical="center"/>
    </xf>
    <xf numFmtId="0" fontId="5" fillId="0" borderId="0" xfId="0" applyFont="1" applyAlignment="1">
      <alignment horizontal="center" vertical="center"/>
    </xf>
    <xf numFmtId="165" fontId="5" fillId="0" borderId="33" xfId="0" applyNumberFormat="1" applyFont="1" applyBorder="1" applyAlignment="1">
      <alignment horizontal="center" vertical="center"/>
    </xf>
    <xf numFmtId="165" fontId="5" fillId="0" borderId="0" xfId="0" applyNumberFormat="1" applyFont="1" applyBorder="1" applyAlignment="1">
      <alignment horizontal="center" vertical="center"/>
    </xf>
  </cellXfs>
  <cellStyles count="6">
    <cellStyle name="Comma 2" xfId="5" xr:uid="{00000000-0005-0000-0000-000000000000}"/>
    <cellStyle name="Input" xfId="2" builtinId="20"/>
    <cellStyle name="Normal" xfId="0" builtinId="0"/>
    <cellStyle name="Normal 2" xfId="1" xr:uid="{00000000-0005-0000-0000-000003000000}"/>
    <cellStyle name="Normal 3" xfId="3" xr:uid="{00000000-0005-0000-0000-000004000000}"/>
    <cellStyle name="Style1" xfId="4" xr:uid="{00000000-0005-0000-0000-000005000000}"/>
  </cellStyles>
  <dxfs count="10">
    <dxf>
      <fill>
        <patternFill>
          <bgColor theme="6" tint="0.39994506668294322"/>
        </patternFill>
      </fill>
    </dxf>
    <dxf>
      <fill>
        <patternFill>
          <bgColor theme="5" tint="0.39994506668294322"/>
        </patternFill>
      </fill>
    </dxf>
    <dxf>
      <font>
        <color auto="1"/>
      </font>
      <fill>
        <patternFill>
          <bgColor rgb="FF92D050"/>
        </patternFill>
      </fill>
    </dxf>
    <dxf>
      <font>
        <color auto="1"/>
      </font>
      <fill>
        <patternFill>
          <bgColor theme="6" tint="0.59996337778862885"/>
        </patternFill>
      </fill>
    </dxf>
    <dxf>
      <font>
        <color auto="1"/>
      </font>
      <fill>
        <patternFill>
          <bgColor theme="6" tint="0.39994506668294322"/>
        </patternFill>
      </fill>
    </dxf>
    <dxf>
      <font>
        <color auto="1"/>
      </font>
      <fill>
        <patternFill>
          <bgColor theme="6" tint="0.39994506668294322"/>
        </patternFill>
      </fill>
    </dxf>
    <dxf>
      <font>
        <color auto="1"/>
      </font>
      <fill>
        <patternFill>
          <bgColor theme="6" tint="0.39994506668294322"/>
        </patternFill>
      </fill>
    </dxf>
    <dxf>
      <font>
        <color auto="1"/>
      </font>
      <fill>
        <patternFill>
          <bgColor rgb="FF92D050"/>
        </patternFill>
      </fill>
    </dxf>
    <dxf>
      <fill>
        <patternFill>
          <bgColor theme="6" tint="0.59996337778862885"/>
        </patternFill>
      </fill>
    </dxf>
    <dxf>
      <fill>
        <patternFill>
          <bgColor theme="6" tint="0.39994506668294322"/>
        </patternFill>
      </fill>
    </dxf>
  </dxfs>
  <tableStyles count="0" defaultTableStyle="TableStyleMedium9" defaultPivotStyle="PivotStyleLight16"/>
  <colors>
    <mruColors>
      <color rgb="FF00FFFF"/>
      <color rgb="FF31849B"/>
      <color rgb="FFFF9F9F"/>
      <color rgb="FFFFFF99"/>
      <color rgb="FFFF5050"/>
      <color rgb="FFFF0066"/>
      <color rgb="FFE86E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Average Breach Width vs </a:t>
            </a:r>
          </a:p>
          <a:p>
            <a:pPr>
              <a:defRPr sz="2400"/>
            </a:pPr>
            <a:r>
              <a:rPr lang="en-US" sz="2400"/>
              <a:t>Pool Volume</a:t>
            </a:r>
          </a:p>
        </c:rich>
      </c:tx>
      <c:overlay val="1"/>
    </c:title>
    <c:autoTitleDeleted val="0"/>
    <c:plotArea>
      <c:layout>
        <c:manualLayout>
          <c:layoutTarget val="inner"/>
          <c:xMode val="edge"/>
          <c:yMode val="edge"/>
          <c:x val="0.10871871797139813"/>
          <c:y val="0.13183780221304917"/>
          <c:w val="0.8253367491765361"/>
          <c:h val="0.73040219029224929"/>
        </c:manualLayout>
      </c:layout>
      <c:scatterChart>
        <c:scatterStyle val="lineMarker"/>
        <c:varyColors val="0"/>
        <c:ser>
          <c:idx val="0"/>
          <c:order val="0"/>
          <c:tx>
            <c:v>Historic Data</c:v>
          </c:tx>
          <c:spPr>
            <a:ln w="28575">
              <a:noFill/>
            </a:ln>
          </c:spPr>
          <c:xVal>
            <c:numRef>
              <c:f>'Filtered Data &amp; Plots'!$T$8:$T$84</c:f>
              <c:numCache>
                <c:formatCode>General</c:formatCode>
                <c:ptCount val="77"/>
                <c:pt idx="0">
                  <c:v>22200000</c:v>
                </c:pt>
                <c:pt idx="1">
                  <c:v>910000</c:v>
                </c:pt>
                <c:pt idx="2">
                  <c:v>49300</c:v>
                </c:pt>
                <c:pt idx="3">
                  <c:v>24700</c:v>
                </c:pt>
                <c:pt idx="4" formatCode="0.00E+00_)">
                  <c:v>483525</c:v>
                </c:pt>
                <c:pt idx="5">
                  <c:v>740000</c:v>
                </c:pt>
                <c:pt idx="6">
                  <c:v>2380000</c:v>
                </c:pt>
                <c:pt idx="7">
                  <c:v>6170000</c:v>
                </c:pt>
                <c:pt idx="8">
                  <c:v>698000</c:v>
                </c:pt>
                <c:pt idx="9">
                  <c:v>466000</c:v>
                </c:pt>
                <c:pt idx="10">
                  <c:v>311000</c:v>
                </c:pt>
                <c:pt idx="11">
                  <c:v>1870000</c:v>
                </c:pt>
                <c:pt idx="12">
                  <c:v>1180000</c:v>
                </c:pt>
                <c:pt idx="13">
                  <c:v>425000</c:v>
                </c:pt>
                <c:pt idx="14">
                  <c:v>493000</c:v>
                </c:pt>
                <c:pt idx="15" formatCode="0.00E+00_)">
                  <c:v>351542</c:v>
                </c:pt>
                <c:pt idx="16">
                  <c:v>3870000</c:v>
                </c:pt>
                <c:pt idx="17">
                  <c:v>16000000</c:v>
                </c:pt>
                <c:pt idx="18" formatCode="0.00E+00_)">
                  <c:v>10600000</c:v>
                </c:pt>
                <c:pt idx="19">
                  <c:v>25500</c:v>
                </c:pt>
                <c:pt idx="20">
                  <c:v>23400</c:v>
                </c:pt>
                <c:pt idx="21">
                  <c:v>6350000</c:v>
                </c:pt>
                <c:pt idx="22">
                  <c:v>14800000</c:v>
                </c:pt>
                <c:pt idx="23">
                  <c:v>30600000</c:v>
                </c:pt>
                <c:pt idx="24">
                  <c:v>12800000</c:v>
                </c:pt>
                <c:pt idx="25">
                  <c:v>1170000</c:v>
                </c:pt>
                <c:pt idx="26">
                  <c:v>333000</c:v>
                </c:pt>
                <c:pt idx="27">
                  <c:v>160000</c:v>
                </c:pt>
                <c:pt idx="28">
                  <c:v>423000</c:v>
                </c:pt>
                <c:pt idx="29">
                  <c:v>575000</c:v>
                </c:pt>
                <c:pt idx="30">
                  <c:v>18900000</c:v>
                </c:pt>
                <c:pt idx="31">
                  <c:v>777000</c:v>
                </c:pt>
                <c:pt idx="32">
                  <c:v>177000</c:v>
                </c:pt>
                <c:pt idx="33">
                  <c:v>78900000</c:v>
                </c:pt>
                <c:pt idx="34">
                  <c:v>31500000</c:v>
                </c:pt>
                <c:pt idx="35">
                  <c:v>789000</c:v>
                </c:pt>
                <c:pt idx="36">
                  <c:v>680000</c:v>
                </c:pt>
                <c:pt idx="37">
                  <c:v>4090000</c:v>
                </c:pt>
                <c:pt idx="38">
                  <c:v>4780000</c:v>
                </c:pt>
                <c:pt idx="39">
                  <c:v>296000</c:v>
                </c:pt>
                <c:pt idx="40">
                  <c:v>555000</c:v>
                </c:pt>
                <c:pt idx="41">
                  <c:v>798000</c:v>
                </c:pt>
                <c:pt idx="42">
                  <c:v>92500</c:v>
                </c:pt>
                <c:pt idx="43">
                  <c:v>1360000</c:v>
                </c:pt>
                <c:pt idx="44">
                  <c:v>284000</c:v>
                </c:pt>
                <c:pt idx="45">
                  <c:v>7080000</c:v>
                </c:pt>
                <c:pt idx="46">
                  <c:v>49300000</c:v>
                </c:pt>
                <c:pt idx="47">
                  <c:v>29600000</c:v>
                </c:pt>
                <c:pt idx="48">
                  <c:v>35800000</c:v>
                </c:pt>
                <c:pt idx="49">
                  <c:v>2880000</c:v>
                </c:pt>
                <c:pt idx="50">
                  <c:v>24700000</c:v>
                </c:pt>
                <c:pt idx="51">
                  <c:v>69600</c:v>
                </c:pt>
                <c:pt idx="52">
                  <c:v>4130000</c:v>
                </c:pt>
                <c:pt idx="53">
                  <c:v>660000000</c:v>
                </c:pt>
                <c:pt idx="54">
                  <c:v>109000</c:v>
                </c:pt>
                <c:pt idx="55">
                  <c:v>4070000</c:v>
                </c:pt>
                <c:pt idx="56">
                  <c:v>105000</c:v>
                </c:pt>
                <c:pt idx="57">
                  <c:v>3540000</c:v>
                </c:pt>
                <c:pt idx="58">
                  <c:v>30800000</c:v>
                </c:pt>
                <c:pt idx="59">
                  <c:v>6780000</c:v>
                </c:pt>
                <c:pt idx="60">
                  <c:v>13900</c:v>
                </c:pt>
                <c:pt idx="61">
                  <c:v>24700</c:v>
                </c:pt>
                <c:pt idx="62" formatCode="0.00E+00_)">
                  <c:v>71541947</c:v>
                </c:pt>
                <c:pt idx="63">
                  <c:v>4440000</c:v>
                </c:pt>
                <c:pt idx="64">
                  <c:v>86000</c:v>
                </c:pt>
                <c:pt idx="65" formatCode="0.00E+00_)">
                  <c:v>2911017</c:v>
                </c:pt>
                <c:pt idx="66" formatCode="0.00E+00_)">
                  <c:v>3330401</c:v>
                </c:pt>
                <c:pt idx="67">
                  <c:v>136000</c:v>
                </c:pt>
                <c:pt idx="68">
                  <c:v>564000</c:v>
                </c:pt>
                <c:pt idx="69" formatCode="0.00E+00_)">
                  <c:v>37004455</c:v>
                </c:pt>
                <c:pt idx="70">
                  <c:v>310000000</c:v>
                </c:pt>
                <c:pt idx="71">
                  <c:v>1480000</c:v>
                </c:pt>
                <c:pt idx="72">
                  <c:v>493000</c:v>
                </c:pt>
                <c:pt idx="73">
                  <c:v>222000</c:v>
                </c:pt>
                <c:pt idx="74">
                  <c:v>11600000</c:v>
                </c:pt>
                <c:pt idx="75">
                  <c:v>533000</c:v>
                </c:pt>
                <c:pt idx="76">
                  <c:v>662000</c:v>
                </c:pt>
              </c:numCache>
            </c:numRef>
          </c:xVal>
          <c:yVal>
            <c:numRef>
              <c:f>'Filtered Data &amp; Plots'!$AA$8:$AA$84</c:f>
              <c:numCache>
                <c:formatCode>General</c:formatCode>
                <c:ptCount val="77"/>
                <c:pt idx="0">
                  <c:v>93</c:v>
                </c:pt>
                <c:pt idx="1">
                  <c:v>25</c:v>
                </c:pt>
                <c:pt idx="2">
                  <c:v>12.2</c:v>
                </c:pt>
                <c:pt idx="3">
                  <c:v>4.72</c:v>
                </c:pt>
                <c:pt idx="4">
                  <c:v>125</c:v>
                </c:pt>
                <c:pt idx="5">
                  <c:v>12.5</c:v>
                </c:pt>
                <c:pt idx="6">
                  <c:v>62.5</c:v>
                </c:pt>
                <c:pt idx="7">
                  <c:v>44.2</c:v>
                </c:pt>
                <c:pt idx="8">
                  <c:v>35.1</c:v>
                </c:pt>
                <c:pt idx="9">
                  <c:v>22.8</c:v>
                </c:pt>
                <c:pt idx="10">
                  <c:v>42.7</c:v>
                </c:pt>
                <c:pt idx="11">
                  <c:v>17.2</c:v>
                </c:pt>
                <c:pt idx="12">
                  <c:v>36.6</c:v>
                </c:pt>
                <c:pt idx="13">
                  <c:v>10.8</c:v>
                </c:pt>
                <c:pt idx="14">
                  <c:v>7.62</c:v>
                </c:pt>
                <c:pt idx="15">
                  <c:v>6.9</c:v>
                </c:pt>
                <c:pt idx="16">
                  <c:v>27.4</c:v>
                </c:pt>
                <c:pt idx="17">
                  <c:v>54.6</c:v>
                </c:pt>
                <c:pt idx="18">
                  <c:v>26.4</c:v>
                </c:pt>
                <c:pt idx="19">
                  <c:v>19</c:v>
                </c:pt>
                <c:pt idx="20">
                  <c:v>10.7</c:v>
                </c:pt>
                <c:pt idx="21">
                  <c:v>73.900000000000006</c:v>
                </c:pt>
                <c:pt idx="22">
                  <c:v>151</c:v>
                </c:pt>
                <c:pt idx="23">
                  <c:v>121</c:v>
                </c:pt>
                <c:pt idx="24">
                  <c:v>73.099999999999994</c:v>
                </c:pt>
                <c:pt idx="25">
                  <c:v>33.4</c:v>
                </c:pt>
                <c:pt idx="26">
                  <c:v>16.8</c:v>
                </c:pt>
                <c:pt idx="27">
                  <c:v>13.5</c:v>
                </c:pt>
                <c:pt idx="28">
                  <c:v>17.5</c:v>
                </c:pt>
                <c:pt idx="29">
                  <c:v>8.23</c:v>
                </c:pt>
                <c:pt idx="30">
                  <c:v>94.5</c:v>
                </c:pt>
                <c:pt idx="31">
                  <c:v>27.3</c:v>
                </c:pt>
                <c:pt idx="32">
                  <c:v>14.5</c:v>
                </c:pt>
                <c:pt idx="33">
                  <c:v>58.8</c:v>
                </c:pt>
                <c:pt idx="34">
                  <c:v>130</c:v>
                </c:pt>
                <c:pt idx="35">
                  <c:v>18.899999999999999</c:v>
                </c:pt>
                <c:pt idx="36">
                  <c:v>16.8</c:v>
                </c:pt>
                <c:pt idx="37">
                  <c:v>39.200000000000003</c:v>
                </c:pt>
                <c:pt idx="38">
                  <c:v>47.2</c:v>
                </c:pt>
                <c:pt idx="39">
                  <c:v>7.62</c:v>
                </c:pt>
                <c:pt idx="40">
                  <c:v>35.1</c:v>
                </c:pt>
                <c:pt idx="41">
                  <c:v>22.2</c:v>
                </c:pt>
                <c:pt idx="42">
                  <c:v>10.8</c:v>
                </c:pt>
                <c:pt idx="43">
                  <c:v>29.6</c:v>
                </c:pt>
                <c:pt idx="44">
                  <c:v>9.14</c:v>
                </c:pt>
                <c:pt idx="45">
                  <c:v>79.2</c:v>
                </c:pt>
                <c:pt idx="46">
                  <c:v>133</c:v>
                </c:pt>
                <c:pt idx="47">
                  <c:v>67</c:v>
                </c:pt>
                <c:pt idx="48">
                  <c:v>97</c:v>
                </c:pt>
                <c:pt idx="49">
                  <c:v>30.5</c:v>
                </c:pt>
                <c:pt idx="50">
                  <c:v>32.799999999999997</c:v>
                </c:pt>
                <c:pt idx="51">
                  <c:v>14.2</c:v>
                </c:pt>
                <c:pt idx="52">
                  <c:v>41.5</c:v>
                </c:pt>
                <c:pt idx="53">
                  <c:v>165</c:v>
                </c:pt>
                <c:pt idx="54">
                  <c:v>9.3000000000000007</c:v>
                </c:pt>
                <c:pt idx="55">
                  <c:v>30.5</c:v>
                </c:pt>
                <c:pt idx="56">
                  <c:v>16.5</c:v>
                </c:pt>
                <c:pt idx="57">
                  <c:v>88.4</c:v>
                </c:pt>
                <c:pt idx="58">
                  <c:v>70</c:v>
                </c:pt>
                <c:pt idx="59">
                  <c:v>38.9</c:v>
                </c:pt>
                <c:pt idx="60">
                  <c:v>2.29</c:v>
                </c:pt>
                <c:pt idx="61">
                  <c:v>13.3</c:v>
                </c:pt>
                <c:pt idx="62">
                  <c:v>168</c:v>
                </c:pt>
                <c:pt idx="63">
                  <c:v>137</c:v>
                </c:pt>
                <c:pt idx="64">
                  <c:v>15</c:v>
                </c:pt>
                <c:pt idx="65">
                  <c:v>22</c:v>
                </c:pt>
                <c:pt idx="66">
                  <c:v>70.599999999999994</c:v>
                </c:pt>
                <c:pt idx="67">
                  <c:v>14.5</c:v>
                </c:pt>
                <c:pt idx="68" formatCode="0.0_)">
                  <c:v>21</c:v>
                </c:pt>
                <c:pt idx="69">
                  <c:v>225</c:v>
                </c:pt>
                <c:pt idx="70">
                  <c:v>151</c:v>
                </c:pt>
                <c:pt idx="71">
                  <c:v>21</c:v>
                </c:pt>
                <c:pt idx="72">
                  <c:v>26.2</c:v>
                </c:pt>
                <c:pt idx="73">
                  <c:v>16.5</c:v>
                </c:pt>
                <c:pt idx="74">
                  <c:v>35.4</c:v>
                </c:pt>
                <c:pt idx="75" formatCode="0.0_)">
                  <c:v>29</c:v>
                </c:pt>
                <c:pt idx="76">
                  <c:v>19.8</c:v>
                </c:pt>
              </c:numCache>
            </c:numRef>
          </c:yVal>
          <c:smooth val="0"/>
          <c:extLst>
            <c:ext xmlns:c16="http://schemas.microsoft.com/office/drawing/2014/chart" uri="{C3380CC4-5D6E-409C-BE32-E72D297353CC}">
              <c16:uniqueId val="{00000000-DA7B-4A85-8D94-066B5D26A6F0}"/>
            </c:ext>
          </c:extLst>
        </c:ser>
        <c:ser>
          <c:idx val="1"/>
          <c:order val="1"/>
          <c:tx>
            <c:v>MacDonald</c:v>
          </c:tx>
          <c:spPr>
            <a:ln w="28575">
              <a:noFill/>
            </a:ln>
          </c:spPr>
          <c:xVal>
            <c:numRef>
              <c:f>'Dam Regression Equations'!$E$10</c:f>
              <c:numCache>
                <c:formatCode>#,##0</c:formatCode>
                <c:ptCount val="1"/>
                <c:pt idx="0">
                  <c:v>117758544.5</c:v>
                </c:pt>
              </c:numCache>
            </c:numRef>
          </c:xVal>
          <c:yVal>
            <c:numRef>
              <c:f>'Dam Regression Equations'!$E$24</c:f>
              <c:numCache>
                <c:formatCode>#,##0</c:formatCode>
                <c:ptCount val="1"/>
                <c:pt idx="0">
                  <c:v>64.968195619041893</c:v>
                </c:pt>
              </c:numCache>
            </c:numRef>
          </c:yVal>
          <c:smooth val="0"/>
          <c:extLst>
            <c:ext xmlns:c16="http://schemas.microsoft.com/office/drawing/2014/chart" uri="{C3380CC4-5D6E-409C-BE32-E72D297353CC}">
              <c16:uniqueId val="{00000001-DA7B-4A85-8D94-066B5D26A6F0}"/>
            </c:ext>
          </c:extLst>
        </c:ser>
        <c:ser>
          <c:idx val="3"/>
          <c:order val="2"/>
          <c:tx>
            <c:v>Froehlich1995</c:v>
          </c:tx>
          <c:spPr>
            <a:ln w="28575">
              <a:noFill/>
            </a:ln>
          </c:spPr>
          <c:xVal>
            <c:numRef>
              <c:f>'Dam Regression Equations'!$E$10</c:f>
              <c:numCache>
                <c:formatCode>#,##0</c:formatCode>
                <c:ptCount val="1"/>
                <c:pt idx="0">
                  <c:v>117758544.5</c:v>
                </c:pt>
              </c:numCache>
            </c:numRef>
          </c:xVal>
          <c:yVal>
            <c:numRef>
              <c:f>'Dam Regression Equations'!$E$29</c:f>
              <c:numCache>
                <c:formatCode>#,##0</c:formatCode>
                <c:ptCount val="1"/>
                <c:pt idx="0">
                  <c:v>147.52499401359901</c:v>
                </c:pt>
              </c:numCache>
            </c:numRef>
          </c:yVal>
          <c:smooth val="0"/>
          <c:extLst>
            <c:ext xmlns:c16="http://schemas.microsoft.com/office/drawing/2014/chart" uri="{C3380CC4-5D6E-409C-BE32-E72D297353CC}">
              <c16:uniqueId val="{00000002-DA7B-4A85-8D94-066B5D26A6F0}"/>
            </c:ext>
          </c:extLst>
        </c:ser>
        <c:ser>
          <c:idx val="4"/>
          <c:order val="3"/>
          <c:tx>
            <c:v>Froehlich2008</c:v>
          </c:tx>
          <c:spPr>
            <a:ln w="28575">
              <a:noFill/>
            </a:ln>
          </c:spPr>
          <c:xVal>
            <c:numRef>
              <c:f>'Dam Regression Equations'!$E$10</c:f>
              <c:numCache>
                <c:formatCode>#,##0</c:formatCode>
                <c:ptCount val="1"/>
                <c:pt idx="0">
                  <c:v>117758544.5</c:v>
                </c:pt>
              </c:numCache>
            </c:numRef>
          </c:xVal>
          <c:yVal>
            <c:numRef>
              <c:f>'Dam Regression Equations'!$E$36</c:f>
              <c:numCache>
                <c:formatCode>#,##0</c:formatCode>
                <c:ptCount val="1"/>
                <c:pt idx="0">
                  <c:v>121.22357543816383</c:v>
                </c:pt>
              </c:numCache>
            </c:numRef>
          </c:yVal>
          <c:smooth val="0"/>
          <c:extLst>
            <c:ext xmlns:c16="http://schemas.microsoft.com/office/drawing/2014/chart" uri="{C3380CC4-5D6E-409C-BE32-E72D297353CC}">
              <c16:uniqueId val="{00000003-DA7B-4A85-8D94-066B5D26A6F0}"/>
            </c:ext>
          </c:extLst>
        </c:ser>
        <c:ser>
          <c:idx val="5"/>
          <c:order val="4"/>
          <c:tx>
            <c:v>Von Thun</c:v>
          </c:tx>
          <c:spPr>
            <a:ln w="28575">
              <a:noFill/>
            </a:ln>
          </c:spPr>
          <c:xVal>
            <c:numRef>
              <c:f>'Dam Regression Equations'!$E$10</c:f>
              <c:numCache>
                <c:formatCode>#,##0</c:formatCode>
                <c:ptCount val="1"/>
                <c:pt idx="0">
                  <c:v>117758544.5</c:v>
                </c:pt>
              </c:numCache>
            </c:numRef>
          </c:xVal>
          <c:yVal>
            <c:numRef>
              <c:f>'Dam Regression Equations'!$E$43</c:f>
              <c:numCache>
                <c:formatCode>#,##0</c:formatCode>
                <c:ptCount val="1"/>
                <c:pt idx="0">
                  <c:v>191.50584000000003</c:v>
                </c:pt>
              </c:numCache>
            </c:numRef>
          </c:yVal>
          <c:smooth val="0"/>
          <c:extLst>
            <c:ext xmlns:c16="http://schemas.microsoft.com/office/drawing/2014/chart" uri="{C3380CC4-5D6E-409C-BE32-E72D297353CC}">
              <c16:uniqueId val="{00000004-DA7B-4A85-8D94-066B5D26A6F0}"/>
            </c:ext>
          </c:extLst>
        </c:ser>
        <c:dLbls>
          <c:showLegendKey val="0"/>
          <c:showVal val="0"/>
          <c:showCatName val="0"/>
          <c:showSerName val="0"/>
          <c:showPercent val="0"/>
          <c:showBubbleSize val="0"/>
        </c:dLbls>
        <c:axId val="445067176"/>
        <c:axId val="650997784"/>
      </c:scatterChart>
      <c:valAx>
        <c:axId val="445067176"/>
        <c:scaling>
          <c:logBase val="10"/>
          <c:orientation val="minMax"/>
        </c:scaling>
        <c:delete val="0"/>
        <c:axPos val="b"/>
        <c:majorGridlines>
          <c:spPr>
            <a:ln>
              <a:solidFill>
                <a:sysClr val="window" lastClr="FFFFFF">
                  <a:lumMod val="85000"/>
                </a:sysClr>
              </a:solidFill>
            </a:ln>
          </c:spPr>
        </c:majorGridlines>
        <c:title>
          <c:tx>
            <c:rich>
              <a:bodyPr/>
              <a:lstStyle/>
              <a:p>
                <a:pPr>
                  <a:defRPr sz="2000"/>
                </a:pPr>
                <a:r>
                  <a:rPr lang="en-US" sz="2000"/>
                  <a:t>Vw (m^3)</a:t>
                </a:r>
              </a:p>
            </c:rich>
          </c:tx>
          <c:layout>
            <c:manualLayout>
              <c:xMode val="edge"/>
              <c:yMode val="edge"/>
              <c:x val="0.44229894970244488"/>
              <c:y val="0.90590722355357767"/>
            </c:manualLayout>
          </c:layout>
          <c:overlay val="0"/>
        </c:title>
        <c:numFmt formatCode="0E+##" sourceLinked="0"/>
        <c:majorTickMark val="out"/>
        <c:minorTickMark val="none"/>
        <c:tickLblPos val="nextTo"/>
        <c:txPr>
          <a:bodyPr/>
          <a:lstStyle/>
          <a:p>
            <a:pPr>
              <a:defRPr sz="1400"/>
            </a:pPr>
            <a:endParaRPr lang="en-US"/>
          </a:p>
        </c:txPr>
        <c:crossAx val="650997784"/>
        <c:crossesAt val="0.1"/>
        <c:crossBetween val="midCat"/>
      </c:valAx>
      <c:valAx>
        <c:axId val="650997784"/>
        <c:scaling>
          <c:logBase val="10"/>
          <c:orientation val="minMax"/>
          <c:max val="10000"/>
        </c:scaling>
        <c:delete val="0"/>
        <c:axPos val="l"/>
        <c:majorGridlines>
          <c:spPr>
            <a:ln>
              <a:solidFill>
                <a:sysClr val="window" lastClr="FFFFFF">
                  <a:lumMod val="85000"/>
                </a:sysClr>
              </a:solidFill>
            </a:ln>
          </c:spPr>
        </c:majorGridlines>
        <c:title>
          <c:tx>
            <c:rich>
              <a:bodyPr rot="0" vert="horz"/>
              <a:lstStyle/>
              <a:p>
                <a:pPr>
                  <a:defRPr sz="2000"/>
                </a:pPr>
                <a:r>
                  <a:rPr lang="en-US" sz="2000"/>
                  <a:t>B</a:t>
                </a:r>
                <a:r>
                  <a:rPr lang="en-US" sz="1800"/>
                  <a:t>avg</a:t>
                </a:r>
                <a:r>
                  <a:rPr lang="en-US" sz="2000"/>
                  <a:t> </a:t>
                </a:r>
              </a:p>
            </c:rich>
          </c:tx>
          <c:layout>
            <c:manualLayout>
              <c:xMode val="edge"/>
              <c:yMode val="edge"/>
              <c:x val="1.2585200193426018E-2"/>
              <c:y val="0.52260132199194165"/>
            </c:manualLayout>
          </c:layout>
          <c:overlay val="0"/>
        </c:title>
        <c:numFmt formatCode="0E+##" sourceLinked="0"/>
        <c:majorTickMark val="out"/>
        <c:minorTickMark val="none"/>
        <c:tickLblPos val="nextTo"/>
        <c:txPr>
          <a:bodyPr/>
          <a:lstStyle/>
          <a:p>
            <a:pPr>
              <a:defRPr sz="1400"/>
            </a:pPr>
            <a:endParaRPr lang="en-US"/>
          </a:p>
        </c:txPr>
        <c:crossAx val="445067176"/>
        <c:crosses val="autoZero"/>
        <c:crossBetween val="midCat"/>
      </c:valAx>
    </c:plotArea>
    <c:legend>
      <c:legendPos val="b"/>
      <c:overlay val="0"/>
      <c:spPr>
        <a:solidFill>
          <a:schemeClr val="bg1"/>
        </a:solidFill>
        <a:ln>
          <a:solidFill>
            <a:srgbClr val="4F81BD"/>
          </a:solidFill>
        </a:ln>
      </c:spPr>
      <c:txPr>
        <a:bodyPr/>
        <a:lstStyle/>
        <a:p>
          <a:pPr>
            <a:defRPr sz="1400" b="1"/>
          </a:pPr>
          <a:endParaRPr lang="en-US"/>
        </a:p>
      </c:txPr>
    </c:legend>
    <c:plotVisOnly val="1"/>
    <c:dispBlanksAs val="gap"/>
    <c:showDLblsOverMax val="0"/>
  </c:chart>
  <c:printSettings>
    <c:headerFooter/>
    <c:pageMargins b="0.75000000000000178" l="0.70000000000000062" r="0.70000000000000062" t="0.750000000000001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Breach Width vs Water Height</a:t>
            </a:r>
          </a:p>
        </c:rich>
      </c:tx>
      <c:overlay val="1"/>
    </c:title>
    <c:autoTitleDeleted val="0"/>
    <c:plotArea>
      <c:layout>
        <c:manualLayout>
          <c:layoutTarget val="inner"/>
          <c:xMode val="edge"/>
          <c:yMode val="edge"/>
          <c:x val="0.10974525838511873"/>
          <c:y val="0.1277046743622379"/>
          <c:w val="0.82559561160253614"/>
          <c:h val="0.74423597123487706"/>
        </c:manualLayout>
      </c:layout>
      <c:scatterChart>
        <c:scatterStyle val="lineMarker"/>
        <c:varyColors val="0"/>
        <c:ser>
          <c:idx val="0"/>
          <c:order val="0"/>
          <c:tx>
            <c:v>Historic Dam Failures</c:v>
          </c:tx>
          <c:spPr>
            <a:ln w="28575">
              <a:noFill/>
            </a:ln>
          </c:spPr>
          <c:xVal>
            <c:numRef>
              <c:f>'Filtered Data &amp; Plots'!$U$8:$U$84</c:f>
              <c:numCache>
                <c:formatCode>General</c:formatCode>
                <c:ptCount val="77"/>
                <c:pt idx="0">
                  <c:v>28</c:v>
                </c:pt>
                <c:pt idx="1">
                  <c:v>12.2</c:v>
                </c:pt>
                <c:pt idx="2">
                  <c:v>5.79</c:v>
                </c:pt>
                <c:pt idx="3">
                  <c:v>6.1</c:v>
                </c:pt>
                <c:pt idx="4">
                  <c:v>14.02</c:v>
                </c:pt>
                <c:pt idx="5">
                  <c:v>3.05</c:v>
                </c:pt>
                <c:pt idx="6">
                  <c:v>7.16</c:v>
                </c:pt>
                <c:pt idx="7">
                  <c:v>21.6</c:v>
                </c:pt>
                <c:pt idx="8">
                  <c:v>11.1</c:v>
                </c:pt>
                <c:pt idx="9">
                  <c:v>4.05</c:v>
                </c:pt>
                <c:pt idx="10">
                  <c:v>11</c:v>
                </c:pt>
                <c:pt idx="11">
                  <c:v>9.8000000000000007</c:v>
                </c:pt>
                <c:pt idx="12">
                  <c:v>9.44</c:v>
                </c:pt>
                <c:pt idx="13">
                  <c:v>6.55</c:v>
                </c:pt>
                <c:pt idx="14">
                  <c:v>11.1</c:v>
                </c:pt>
                <c:pt idx="15">
                  <c:v>8.23</c:v>
                </c:pt>
                <c:pt idx="16">
                  <c:v>8.5299999999999994</c:v>
                </c:pt>
                <c:pt idx="17">
                  <c:v>10.8</c:v>
                </c:pt>
                <c:pt idx="18">
                  <c:v>1.37</c:v>
                </c:pt>
                <c:pt idx="19">
                  <c:v>6.4</c:v>
                </c:pt>
                <c:pt idx="20">
                  <c:v>2.99</c:v>
                </c:pt>
                <c:pt idx="21">
                  <c:v>10.7</c:v>
                </c:pt>
                <c:pt idx="22">
                  <c:v>16.8</c:v>
                </c:pt>
                <c:pt idx="23">
                  <c:v>35.1</c:v>
                </c:pt>
                <c:pt idx="24">
                  <c:v>7.01</c:v>
                </c:pt>
                <c:pt idx="25">
                  <c:v>4.42</c:v>
                </c:pt>
                <c:pt idx="26">
                  <c:v>4.42</c:v>
                </c:pt>
                <c:pt idx="27">
                  <c:v>3.81</c:v>
                </c:pt>
                <c:pt idx="28">
                  <c:v>20.100000000000001</c:v>
                </c:pt>
                <c:pt idx="29">
                  <c:v>3.05</c:v>
                </c:pt>
                <c:pt idx="30">
                  <c:v>24.6</c:v>
                </c:pt>
                <c:pt idx="31">
                  <c:v>11.3</c:v>
                </c:pt>
                <c:pt idx="32">
                  <c:v>3.66</c:v>
                </c:pt>
                <c:pt idx="33">
                  <c:v>7.9</c:v>
                </c:pt>
                <c:pt idx="34">
                  <c:v>13.7</c:v>
                </c:pt>
                <c:pt idx="35">
                  <c:v>14</c:v>
                </c:pt>
                <c:pt idx="36">
                  <c:v>6.71</c:v>
                </c:pt>
                <c:pt idx="37">
                  <c:v>6.25</c:v>
                </c:pt>
                <c:pt idx="38" formatCode="0.00_)">
                  <c:v>9</c:v>
                </c:pt>
                <c:pt idx="39">
                  <c:v>12.8</c:v>
                </c:pt>
                <c:pt idx="40">
                  <c:v>14.1</c:v>
                </c:pt>
                <c:pt idx="41">
                  <c:v>6.71</c:v>
                </c:pt>
                <c:pt idx="42">
                  <c:v>3.35</c:v>
                </c:pt>
                <c:pt idx="43">
                  <c:v>22.9</c:v>
                </c:pt>
                <c:pt idx="44">
                  <c:v>3.17</c:v>
                </c:pt>
                <c:pt idx="45">
                  <c:v>5.79</c:v>
                </c:pt>
                <c:pt idx="46">
                  <c:v>39.6</c:v>
                </c:pt>
                <c:pt idx="47">
                  <c:v>11.3</c:v>
                </c:pt>
                <c:pt idx="48">
                  <c:v>16.2</c:v>
                </c:pt>
                <c:pt idx="49">
                  <c:v>11.6</c:v>
                </c:pt>
                <c:pt idx="50">
                  <c:v>7.92</c:v>
                </c:pt>
                <c:pt idx="51">
                  <c:v>3.44</c:v>
                </c:pt>
                <c:pt idx="52">
                  <c:v>4.41</c:v>
                </c:pt>
                <c:pt idx="53">
                  <c:v>35.799999999999997</c:v>
                </c:pt>
                <c:pt idx="54">
                  <c:v>5</c:v>
                </c:pt>
                <c:pt idx="55">
                  <c:v>8.08</c:v>
                </c:pt>
                <c:pt idx="56">
                  <c:v>7.77</c:v>
                </c:pt>
                <c:pt idx="57">
                  <c:v>1.68</c:v>
                </c:pt>
                <c:pt idx="58">
                  <c:v>16.7</c:v>
                </c:pt>
                <c:pt idx="59">
                  <c:v>10</c:v>
                </c:pt>
                <c:pt idx="60">
                  <c:v>3.66</c:v>
                </c:pt>
                <c:pt idx="61">
                  <c:v>4.57</c:v>
                </c:pt>
                <c:pt idx="62" formatCode="0.00_)">
                  <c:v>38.4</c:v>
                </c:pt>
                <c:pt idx="63">
                  <c:v>30.5</c:v>
                </c:pt>
                <c:pt idx="64">
                  <c:v>10.4</c:v>
                </c:pt>
                <c:pt idx="65" formatCode="0.00_)">
                  <c:v>14.02</c:v>
                </c:pt>
                <c:pt idx="66" formatCode="0.00_)">
                  <c:v>21.34</c:v>
                </c:pt>
                <c:pt idx="67" formatCode="0.00_)">
                  <c:v>5.49</c:v>
                </c:pt>
                <c:pt idx="68">
                  <c:v>5.55</c:v>
                </c:pt>
                <c:pt idx="69">
                  <c:v>47.8536</c:v>
                </c:pt>
                <c:pt idx="70">
                  <c:v>77.400000000000006</c:v>
                </c:pt>
                <c:pt idx="71">
                  <c:v>5.18</c:v>
                </c:pt>
                <c:pt idx="72">
                  <c:v>8.5299999999999994</c:v>
                </c:pt>
                <c:pt idx="73">
                  <c:v>5.18</c:v>
                </c:pt>
                <c:pt idx="74">
                  <c:v>12.2</c:v>
                </c:pt>
                <c:pt idx="75">
                  <c:v>3.57</c:v>
                </c:pt>
                <c:pt idx="76">
                  <c:v>6.4</c:v>
                </c:pt>
              </c:numCache>
            </c:numRef>
          </c:xVal>
          <c:yVal>
            <c:numRef>
              <c:f>'Filtered Data &amp; Plots'!$AA$8:$AA$84</c:f>
              <c:numCache>
                <c:formatCode>General</c:formatCode>
                <c:ptCount val="77"/>
                <c:pt idx="0">
                  <c:v>93</c:v>
                </c:pt>
                <c:pt idx="1">
                  <c:v>25</c:v>
                </c:pt>
                <c:pt idx="2">
                  <c:v>12.2</c:v>
                </c:pt>
                <c:pt idx="3">
                  <c:v>4.72</c:v>
                </c:pt>
                <c:pt idx="4">
                  <c:v>125</c:v>
                </c:pt>
                <c:pt idx="5">
                  <c:v>12.5</c:v>
                </c:pt>
                <c:pt idx="6">
                  <c:v>62.5</c:v>
                </c:pt>
                <c:pt idx="7">
                  <c:v>44.2</c:v>
                </c:pt>
                <c:pt idx="8">
                  <c:v>35.1</c:v>
                </c:pt>
                <c:pt idx="9">
                  <c:v>22.8</c:v>
                </c:pt>
                <c:pt idx="10">
                  <c:v>42.7</c:v>
                </c:pt>
                <c:pt idx="11">
                  <c:v>17.2</c:v>
                </c:pt>
                <c:pt idx="12">
                  <c:v>36.6</c:v>
                </c:pt>
                <c:pt idx="13">
                  <c:v>10.8</c:v>
                </c:pt>
                <c:pt idx="14">
                  <c:v>7.62</c:v>
                </c:pt>
                <c:pt idx="15">
                  <c:v>6.9</c:v>
                </c:pt>
                <c:pt idx="16">
                  <c:v>27.4</c:v>
                </c:pt>
                <c:pt idx="17">
                  <c:v>54.6</c:v>
                </c:pt>
                <c:pt idx="18">
                  <c:v>26.4</c:v>
                </c:pt>
                <c:pt idx="19">
                  <c:v>19</c:v>
                </c:pt>
                <c:pt idx="20">
                  <c:v>10.7</c:v>
                </c:pt>
                <c:pt idx="21">
                  <c:v>73.900000000000006</c:v>
                </c:pt>
                <c:pt idx="22">
                  <c:v>151</c:v>
                </c:pt>
                <c:pt idx="23">
                  <c:v>121</c:v>
                </c:pt>
                <c:pt idx="24">
                  <c:v>73.099999999999994</c:v>
                </c:pt>
                <c:pt idx="25">
                  <c:v>33.4</c:v>
                </c:pt>
                <c:pt idx="26">
                  <c:v>16.8</c:v>
                </c:pt>
                <c:pt idx="27">
                  <c:v>13.5</c:v>
                </c:pt>
                <c:pt idx="28">
                  <c:v>17.5</c:v>
                </c:pt>
                <c:pt idx="29">
                  <c:v>8.23</c:v>
                </c:pt>
                <c:pt idx="30">
                  <c:v>94.5</c:v>
                </c:pt>
                <c:pt idx="31">
                  <c:v>27.3</c:v>
                </c:pt>
                <c:pt idx="32">
                  <c:v>14.5</c:v>
                </c:pt>
                <c:pt idx="33">
                  <c:v>58.8</c:v>
                </c:pt>
                <c:pt idx="34">
                  <c:v>130</c:v>
                </c:pt>
                <c:pt idx="35">
                  <c:v>18.899999999999999</c:v>
                </c:pt>
                <c:pt idx="36">
                  <c:v>16.8</c:v>
                </c:pt>
                <c:pt idx="37">
                  <c:v>39.200000000000003</c:v>
                </c:pt>
                <c:pt idx="38">
                  <c:v>47.2</c:v>
                </c:pt>
                <c:pt idx="39">
                  <c:v>7.62</c:v>
                </c:pt>
                <c:pt idx="40">
                  <c:v>35.1</c:v>
                </c:pt>
                <c:pt idx="41">
                  <c:v>22.2</c:v>
                </c:pt>
                <c:pt idx="42">
                  <c:v>10.8</c:v>
                </c:pt>
                <c:pt idx="43">
                  <c:v>29.6</c:v>
                </c:pt>
                <c:pt idx="44">
                  <c:v>9.14</c:v>
                </c:pt>
                <c:pt idx="45">
                  <c:v>79.2</c:v>
                </c:pt>
                <c:pt idx="46">
                  <c:v>133</c:v>
                </c:pt>
                <c:pt idx="47">
                  <c:v>67</c:v>
                </c:pt>
                <c:pt idx="48">
                  <c:v>97</c:v>
                </c:pt>
                <c:pt idx="49">
                  <c:v>30.5</c:v>
                </c:pt>
                <c:pt idx="50">
                  <c:v>32.799999999999997</c:v>
                </c:pt>
                <c:pt idx="51">
                  <c:v>14.2</c:v>
                </c:pt>
                <c:pt idx="52">
                  <c:v>41.5</c:v>
                </c:pt>
                <c:pt idx="53">
                  <c:v>165</c:v>
                </c:pt>
                <c:pt idx="54">
                  <c:v>9.3000000000000007</c:v>
                </c:pt>
                <c:pt idx="55">
                  <c:v>30.5</c:v>
                </c:pt>
                <c:pt idx="56">
                  <c:v>16.5</c:v>
                </c:pt>
                <c:pt idx="57">
                  <c:v>88.4</c:v>
                </c:pt>
                <c:pt idx="58">
                  <c:v>70</c:v>
                </c:pt>
                <c:pt idx="59">
                  <c:v>38.9</c:v>
                </c:pt>
                <c:pt idx="60">
                  <c:v>2.29</c:v>
                </c:pt>
                <c:pt idx="61">
                  <c:v>13.3</c:v>
                </c:pt>
                <c:pt idx="62">
                  <c:v>168</c:v>
                </c:pt>
                <c:pt idx="63">
                  <c:v>137</c:v>
                </c:pt>
                <c:pt idx="64">
                  <c:v>15</c:v>
                </c:pt>
                <c:pt idx="65">
                  <c:v>22</c:v>
                </c:pt>
                <c:pt idx="66">
                  <c:v>70.599999999999994</c:v>
                </c:pt>
                <c:pt idx="67">
                  <c:v>14.5</c:v>
                </c:pt>
                <c:pt idx="68" formatCode="0.0_)">
                  <c:v>21</c:v>
                </c:pt>
                <c:pt idx="69">
                  <c:v>225</c:v>
                </c:pt>
                <c:pt idx="70">
                  <c:v>151</c:v>
                </c:pt>
                <c:pt idx="71">
                  <c:v>21</c:v>
                </c:pt>
                <c:pt idx="72">
                  <c:v>26.2</c:v>
                </c:pt>
                <c:pt idx="73">
                  <c:v>16.5</c:v>
                </c:pt>
                <c:pt idx="74">
                  <c:v>35.4</c:v>
                </c:pt>
                <c:pt idx="75" formatCode="0.0_)">
                  <c:v>29</c:v>
                </c:pt>
                <c:pt idx="76">
                  <c:v>19.8</c:v>
                </c:pt>
              </c:numCache>
            </c:numRef>
          </c:yVal>
          <c:smooth val="0"/>
          <c:extLst>
            <c:ext xmlns:c16="http://schemas.microsoft.com/office/drawing/2014/chart" uri="{C3380CC4-5D6E-409C-BE32-E72D297353CC}">
              <c16:uniqueId val="{00000000-8542-486F-A5F8-8CF0B0B74F98}"/>
            </c:ext>
          </c:extLst>
        </c:ser>
        <c:ser>
          <c:idx val="1"/>
          <c:order val="1"/>
          <c:tx>
            <c:v>MacDonald</c:v>
          </c:tx>
          <c:spPr>
            <a:ln w="28575">
              <a:noFill/>
            </a:ln>
          </c:spPr>
          <c:xVal>
            <c:numRef>
              <c:f>'Dam Regression Equations'!$E$11</c:f>
              <c:numCache>
                <c:formatCode>0.00</c:formatCode>
                <c:ptCount val="1"/>
                <c:pt idx="0">
                  <c:v>54.656736000000016</c:v>
                </c:pt>
              </c:numCache>
            </c:numRef>
          </c:xVal>
          <c:yVal>
            <c:numRef>
              <c:f>'Dam Regression Equations'!$E$24</c:f>
              <c:numCache>
                <c:formatCode>#,##0</c:formatCode>
                <c:ptCount val="1"/>
                <c:pt idx="0">
                  <c:v>64.968195619041893</c:v>
                </c:pt>
              </c:numCache>
            </c:numRef>
          </c:yVal>
          <c:smooth val="0"/>
          <c:extLst>
            <c:ext xmlns:c16="http://schemas.microsoft.com/office/drawing/2014/chart" uri="{C3380CC4-5D6E-409C-BE32-E72D297353CC}">
              <c16:uniqueId val="{00000001-8542-486F-A5F8-8CF0B0B74F98}"/>
            </c:ext>
          </c:extLst>
        </c:ser>
        <c:ser>
          <c:idx val="2"/>
          <c:order val="2"/>
          <c:tx>
            <c:v>Froehlich1995</c:v>
          </c:tx>
          <c:spPr>
            <a:ln w="28575">
              <a:noFill/>
            </a:ln>
          </c:spPr>
          <c:xVal>
            <c:numRef>
              <c:f>'Dam Regression Equations'!$E$11</c:f>
              <c:numCache>
                <c:formatCode>0.00</c:formatCode>
                <c:ptCount val="1"/>
                <c:pt idx="0">
                  <c:v>54.656736000000016</c:v>
                </c:pt>
              </c:numCache>
            </c:numRef>
          </c:xVal>
          <c:yVal>
            <c:numRef>
              <c:f>'Dam Regression Equations'!$E$29</c:f>
              <c:numCache>
                <c:formatCode>#,##0</c:formatCode>
                <c:ptCount val="1"/>
                <c:pt idx="0">
                  <c:v>147.52499401359901</c:v>
                </c:pt>
              </c:numCache>
            </c:numRef>
          </c:yVal>
          <c:smooth val="0"/>
          <c:extLst>
            <c:ext xmlns:c16="http://schemas.microsoft.com/office/drawing/2014/chart" uri="{C3380CC4-5D6E-409C-BE32-E72D297353CC}">
              <c16:uniqueId val="{00000002-8542-486F-A5F8-8CF0B0B74F98}"/>
            </c:ext>
          </c:extLst>
        </c:ser>
        <c:ser>
          <c:idx val="3"/>
          <c:order val="3"/>
          <c:tx>
            <c:v>Froehlich2008</c:v>
          </c:tx>
          <c:spPr>
            <a:ln w="28575">
              <a:noFill/>
            </a:ln>
          </c:spPr>
          <c:xVal>
            <c:numRef>
              <c:f>'Dam Regression Equations'!$E$11</c:f>
              <c:numCache>
                <c:formatCode>0.00</c:formatCode>
                <c:ptCount val="1"/>
                <c:pt idx="0">
                  <c:v>54.656736000000016</c:v>
                </c:pt>
              </c:numCache>
            </c:numRef>
          </c:xVal>
          <c:yVal>
            <c:numRef>
              <c:f>'Dam Regression Equations'!$E$36</c:f>
              <c:numCache>
                <c:formatCode>#,##0</c:formatCode>
                <c:ptCount val="1"/>
                <c:pt idx="0">
                  <c:v>121.22357543816383</c:v>
                </c:pt>
              </c:numCache>
            </c:numRef>
          </c:yVal>
          <c:smooth val="0"/>
          <c:extLst>
            <c:ext xmlns:c16="http://schemas.microsoft.com/office/drawing/2014/chart" uri="{C3380CC4-5D6E-409C-BE32-E72D297353CC}">
              <c16:uniqueId val="{00000003-8542-486F-A5F8-8CF0B0B74F98}"/>
            </c:ext>
          </c:extLst>
        </c:ser>
        <c:ser>
          <c:idx val="4"/>
          <c:order val="4"/>
          <c:tx>
            <c:v>Von Thun</c:v>
          </c:tx>
          <c:spPr>
            <a:ln w="28575">
              <a:noFill/>
            </a:ln>
          </c:spPr>
          <c:xVal>
            <c:numRef>
              <c:f>'Dam Regression Equations'!$E$11</c:f>
              <c:numCache>
                <c:formatCode>0.00</c:formatCode>
                <c:ptCount val="1"/>
                <c:pt idx="0">
                  <c:v>54.656736000000016</c:v>
                </c:pt>
              </c:numCache>
            </c:numRef>
          </c:xVal>
          <c:yVal>
            <c:numRef>
              <c:f>'Dam Regression Equations'!$E$43</c:f>
              <c:numCache>
                <c:formatCode>#,##0</c:formatCode>
                <c:ptCount val="1"/>
                <c:pt idx="0">
                  <c:v>191.50584000000003</c:v>
                </c:pt>
              </c:numCache>
            </c:numRef>
          </c:yVal>
          <c:smooth val="0"/>
          <c:extLst>
            <c:ext xmlns:c16="http://schemas.microsoft.com/office/drawing/2014/chart" uri="{C3380CC4-5D6E-409C-BE32-E72D297353CC}">
              <c16:uniqueId val="{00000004-8542-486F-A5F8-8CF0B0B74F98}"/>
            </c:ext>
          </c:extLst>
        </c:ser>
        <c:dLbls>
          <c:showLegendKey val="0"/>
          <c:showVal val="0"/>
          <c:showCatName val="0"/>
          <c:showSerName val="0"/>
          <c:showPercent val="0"/>
          <c:showBubbleSize val="0"/>
        </c:dLbls>
        <c:axId val="650998960"/>
        <c:axId val="650996608"/>
      </c:scatterChart>
      <c:valAx>
        <c:axId val="650998960"/>
        <c:scaling>
          <c:logBase val="10"/>
          <c:orientation val="minMax"/>
        </c:scaling>
        <c:delete val="0"/>
        <c:axPos val="b"/>
        <c:title>
          <c:tx>
            <c:rich>
              <a:bodyPr/>
              <a:lstStyle/>
              <a:p>
                <a:pPr>
                  <a:defRPr/>
                </a:pPr>
                <a:r>
                  <a:rPr lang="en-US" sz="2000"/>
                  <a:t>Hw </a:t>
                </a:r>
                <a:endParaRPr lang="en-US"/>
              </a:p>
            </c:rich>
          </c:tx>
          <c:layout>
            <c:manualLayout>
              <c:xMode val="edge"/>
              <c:yMode val="edge"/>
              <c:x val="0.48653417034210938"/>
              <c:y val="0.91129921259842506"/>
            </c:manualLayout>
          </c:layout>
          <c:overlay val="0"/>
        </c:title>
        <c:numFmt formatCode="0E+##" sourceLinked="0"/>
        <c:majorTickMark val="out"/>
        <c:minorTickMark val="none"/>
        <c:tickLblPos val="nextTo"/>
        <c:txPr>
          <a:bodyPr/>
          <a:lstStyle/>
          <a:p>
            <a:pPr>
              <a:defRPr sz="1400"/>
            </a:pPr>
            <a:endParaRPr lang="en-US"/>
          </a:p>
        </c:txPr>
        <c:crossAx val="650996608"/>
        <c:crossesAt val="0.1"/>
        <c:crossBetween val="midCat"/>
      </c:valAx>
      <c:valAx>
        <c:axId val="650996608"/>
        <c:scaling>
          <c:logBase val="10"/>
          <c:orientation val="minMax"/>
        </c:scaling>
        <c:delete val="0"/>
        <c:axPos val="l"/>
        <c:majorGridlines/>
        <c:title>
          <c:tx>
            <c:rich>
              <a:bodyPr rot="0" vert="horz"/>
              <a:lstStyle/>
              <a:p>
                <a:pPr>
                  <a:defRPr sz="2000"/>
                </a:pPr>
                <a:r>
                  <a:rPr lang="en-US" sz="2000"/>
                  <a:t>Bavg </a:t>
                </a:r>
              </a:p>
            </c:rich>
          </c:tx>
          <c:layout>
            <c:manualLayout>
              <c:xMode val="edge"/>
              <c:yMode val="edge"/>
              <c:x val="2.7986220472441016E-2"/>
              <c:y val="0.4655538690193855"/>
            </c:manualLayout>
          </c:layout>
          <c:overlay val="0"/>
        </c:title>
        <c:numFmt formatCode="0E+##" sourceLinked="0"/>
        <c:majorTickMark val="out"/>
        <c:minorTickMark val="none"/>
        <c:tickLblPos val="nextTo"/>
        <c:txPr>
          <a:bodyPr/>
          <a:lstStyle/>
          <a:p>
            <a:pPr>
              <a:defRPr sz="1400"/>
            </a:pPr>
            <a:endParaRPr lang="en-US"/>
          </a:p>
        </c:txPr>
        <c:crossAx val="650998960"/>
        <c:crossesAt val="0.1"/>
        <c:crossBetween val="midCat"/>
      </c:valAx>
    </c:plotArea>
    <c:legend>
      <c:legendPos val="b"/>
      <c:overlay val="0"/>
      <c:spPr>
        <a:solidFill>
          <a:sysClr val="window" lastClr="FFFFFF"/>
        </a:solidFill>
        <a:ln>
          <a:solidFill>
            <a:srgbClr val="4F81BD"/>
          </a:solidFill>
        </a:ln>
      </c:spPr>
      <c:txPr>
        <a:bodyPr/>
        <a:lstStyle/>
        <a:p>
          <a:pPr>
            <a:defRPr sz="1600" b="1"/>
          </a:pPr>
          <a:endParaRPr lang="en-US"/>
        </a:p>
      </c:txPr>
    </c:legend>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Formation</a:t>
            </a:r>
            <a:r>
              <a:rPr lang="en-US" sz="2400" baseline="0"/>
              <a:t> Time</a:t>
            </a:r>
            <a:r>
              <a:rPr lang="en-US" sz="2400"/>
              <a:t> vs </a:t>
            </a:r>
          </a:p>
          <a:p>
            <a:pPr>
              <a:defRPr sz="2400"/>
            </a:pPr>
            <a:r>
              <a:rPr lang="en-US" sz="2400"/>
              <a:t>Water</a:t>
            </a:r>
            <a:r>
              <a:rPr lang="en-US" sz="2400" baseline="0"/>
              <a:t> Height</a:t>
            </a:r>
            <a:endParaRPr lang="en-US" sz="2400"/>
          </a:p>
        </c:rich>
      </c:tx>
      <c:overlay val="1"/>
    </c:title>
    <c:autoTitleDeleted val="0"/>
    <c:plotArea>
      <c:layout>
        <c:manualLayout>
          <c:layoutTarget val="inner"/>
          <c:xMode val="edge"/>
          <c:yMode val="edge"/>
          <c:x val="0.13237653492670318"/>
          <c:y val="0.13914743415693806"/>
          <c:w val="0.81968544446413838"/>
          <c:h val="0.73326503804918386"/>
        </c:manualLayout>
      </c:layout>
      <c:scatterChart>
        <c:scatterStyle val="lineMarker"/>
        <c:varyColors val="0"/>
        <c:ser>
          <c:idx val="0"/>
          <c:order val="0"/>
          <c:tx>
            <c:v>Historic Dam Failures</c:v>
          </c:tx>
          <c:spPr>
            <a:ln w="28575">
              <a:noFill/>
            </a:ln>
          </c:spPr>
          <c:xVal>
            <c:numRef>
              <c:f>'Filtered Data &amp; Plots'!$U$8:$U$84</c:f>
              <c:numCache>
                <c:formatCode>General</c:formatCode>
                <c:ptCount val="77"/>
                <c:pt idx="0">
                  <c:v>28</c:v>
                </c:pt>
                <c:pt idx="1">
                  <c:v>12.2</c:v>
                </c:pt>
                <c:pt idx="2">
                  <c:v>5.79</c:v>
                </c:pt>
                <c:pt idx="3">
                  <c:v>6.1</c:v>
                </c:pt>
                <c:pt idx="4">
                  <c:v>14.02</c:v>
                </c:pt>
                <c:pt idx="5">
                  <c:v>3.05</c:v>
                </c:pt>
                <c:pt idx="6">
                  <c:v>7.16</c:v>
                </c:pt>
                <c:pt idx="7">
                  <c:v>21.6</c:v>
                </c:pt>
                <c:pt idx="8">
                  <c:v>11.1</c:v>
                </c:pt>
                <c:pt idx="9">
                  <c:v>4.05</c:v>
                </c:pt>
                <c:pt idx="10">
                  <c:v>11</c:v>
                </c:pt>
                <c:pt idx="11">
                  <c:v>9.8000000000000007</c:v>
                </c:pt>
                <c:pt idx="12">
                  <c:v>9.44</c:v>
                </c:pt>
                <c:pt idx="13">
                  <c:v>6.55</c:v>
                </c:pt>
                <c:pt idx="14">
                  <c:v>11.1</c:v>
                </c:pt>
                <c:pt idx="15">
                  <c:v>8.23</c:v>
                </c:pt>
                <c:pt idx="16">
                  <c:v>8.5299999999999994</c:v>
                </c:pt>
                <c:pt idx="17">
                  <c:v>10.8</c:v>
                </c:pt>
                <c:pt idx="18">
                  <c:v>1.37</c:v>
                </c:pt>
                <c:pt idx="19">
                  <c:v>6.4</c:v>
                </c:pt>
                <c:pt idx="20">
                  <c:v>2.99</c:v>
                </c:pt>
                <c:pt idx="21">
                  <c:v>10.7</c:v>
                </c:pt>
                <c:pt idx="22">
                  <c:v>16.8</c:v>
                </c:pt>
                <c:pt idx="23">
                  <c:v>35.1</c:v>
                </c:pt>
                <c:pt idx="24">
                  <c:v>7.01</c:v>
                </c:pt>
                <c:pt idx="25">
                  <c:v>4.42</c:v>
                </c:pt>
                <c:pt idx="26">
                  <c:v>4.42</c:v>
                </c:pt>
                <c:pt idx="27">
                  <c:v>3.81</c:v>
                </c:pt>
                <c:pt idx="28">
                  <c:v>20.100000000000001</c:v>
                </c:pt>
                <c:pt idx="29">
                  <c:v>3.05</c:v>
                </c:pt>
                <c:pt idx="30">
                  <c:v>24.6</c:v>
                </c:pt>
                <c:pt idx="31">
                  <c:v>11.3</c:v>
                </c:pt>
                <c:pt idx="32">
                  <c:v>3.66</c:v>
                </c:pt>
                <c:pt idx="33">
                  <c:v>7.9</c:v>
                </c:pt>
                <c:pt idx="34">
                  <c:v>13.7</c:v>
                </c:pt>
                <c:pt idx="35">
                  <c:v>14</c:v>
                </c:pt>
                <c:pt idx="36">
                  <c:v>6.71</c:v>
                </c:pt>
                <c:pt idx="37">
                  <c:v>6.25</c:v>
                </c:pt>
                <c:pt idx="38" formatCode="0.00_)">
                  <c:v>9</c:v>
                </c:pt>
                <c:pt idx="39">
                  <c:v>12.8</c:v>
                </c:pt>
                <c:pt idx="40">
                  <c:v>14.1</c:v>
                </c:pt>
                <c:pt idx="41">
                  <c:v>6.71</c:v>
                </c:pt>
                <c:pt idx="42">
                  <c:v>3.35</c:v>
                </c:pt>
                <c:pt idx="43">
                  <c:v>22.9</c:v>
                </c:pt>
                <c:pt idx="44">
                  <c:v>3.17</c:v>
                </c:pt>
                <c:pt idx="45">
                  <c:v>5.79</c:v>
                </c:pt>
                <c:pt idx="46">
                  <c:v>39.6</c:v>
                </c:pt>
                <c:pt idx="47">
                  <c:v>11.3</c:v>
                </c:pt>
                <c:pt idx="48">
                  <c:v>16.2</c:v>
                </c:pt>
                <c:pt idx="49">
                  <c:v>11.6</c:v>
                </c:pt>
                <c:pt idx="50">
                  <c:v>7.92</c:v>
                </c:pt>
                <c:pt idx="51">
                  <c:v>3.44</c:v>
                </c:pt>
                <c:pt idx="52">
                  <c:v>4.41</c:v>
                </c:pt>
                <c:pt idx="53">
                  <c:v>35.799999999999997</c:v>
                </c:pt>
                <c:pt idx="54">
                  <c:v>5</c:v>
                </c:pt>
                <c:pt idx="55">
                  <c:v>8.08</c:v>
                </c:pt>
                <c:pt idx="56">
                  <c:v>7.77</c:v>
                </c:pt>
                <c:pt idx="57">
                  <c:v>1.68</c:v>
                </c:pt>
                <c:pt idx="58">
                  <c:v>16.7</c:v>
                </c:pt>
                <c:pt idx="59">
                  <c:v>10</c:v>
                </c:pt>
                <c:pt idx="60">
                  <c:v>3.66</c:v>
                </c:pt>
                <c:pt idx="61">
                  <c:v>4.57</c:v>
                </c:pt>
                <c:pt idx="62" formatCode="0.00_)">
                  <c:v>38.4</c:v>
                </c:pt>
                <c:pt idx="63">
                  <c:v>30.5</c:v>
                </c:pt>
                <c:pt idx="64">
                  <c:v>10.4</c:v>
                </c:pt>
                <c:pt idx="65" formatCode="0.00_)">
                  <c:v>14.02</c:v>
                </c:pt>
                <c:pt idx="66" formatCode="0.00_)">
                  <c:v>21.34</c:v>
                </c:pt>
                <c:pt idx="67" formatCode="0.00_)">
                  <c:v>5.49</c:v>
                </c:pt>
                <c:pt idx="68">
                  <c:v>5.55</c:v>
                </c:pt>
                <c:pt idx="69">
                  <c:v>47.8536</c:v>
                </c:pt>
                <c:pt idx="70">
                  <c:v>77.400000000000006</c:v>
                </c:pt>
                <c:pt idx="71">
                  <c:v>5.18</c:v>
                </c:pt>
                <c:pt idx="72">
                  <c:v>8.5299999999999994</c:v>
                </c:pt>
                <c:pt idx="73">
                  <c:v>5.18</c:v>
                </c:pt>
                <c:pt idx="74">
                  <c:v>12.2</c:v>
                </c:pt>
                <c:pt idx="75">
                  <c:v>3.57</c:v>
                </c:pt>
                <c:pt idx="76">
                  <c:v>6.4</c:v>
                </c:pt>
              </c:numCache>
            </c:numRef>
          </c:xVal>
          <c:yVal>
            <c:numRef>
              <c:f>'Filtered Data &amp; Plots'!$AF$8:$AF$84</c:f>
              <c:numCache>
                <c:formatCode>General</c:formatCode>
                <c:ptCount val="77"/>
                <c:pt idx="0">
                  <c:v>0.75</c:v>
                </c:pt>
                <c:pt idx="1">
                  <c:v>0.33333333333333331</c:v>
                </c:pt>
                <c:pt idx="7">
                  <c:v>0.5</c:v>
                </c:pt>
                <c:pt idx="10">
                  <c:v>0.25</c:v>
                </c:pt>
                <c:pt idx="16">
                  <c:v>0.58333333333333337</c:v>
                </c:pt>
                <c:pt idx="22">
                  <c:v>1</c:v>
                </c:pt>
                <c:pt idx="23">
                  <c:v>0.75</c:v>
                </c:pt>
                <c:pt idx="27">
                  <c:v>0.5</c:v>
                </c:pt>
                <c:pt idx="30">
                  <c:v>0.75</c:v>
                </c:pt>
                <c:pt idx="43">
                  <c:v>0.33333333333333331</c:v>
                </c:pt>
                <c:pt idx="45">
                  <c:v>1.5</c:v>
                </c:pt>
                <c:pt idx="46">
                  <c:v>1</c:v>
                </c:pt>
                <c:pt idx="53">
                  <c:v>8.5</c:v>
                </c:pt>
                <c:pt idx="55">
                  <c:v>1</c:v>
                </c:pt>
                <c:pt idx="57">
                  <c:v>2.5</c:v>
                </c:pt>
                <c:pt idx="58">
                  <c:v>1</c:v>
                </c:pt>
                <c:pt idx="63">
                  <c:v>0.5</c:v>
                </c:pt>
                <c:pt idx="70">
                  <c:v>1.25</c:v>
                </c:pt>
                <c:pt idx="74">
                  <c:v>1.5</c:v>
                </c:pt>
              </c:numCache>
            </c:numRef>
          </c:yVal>
          <c:smooth val="0"/>
          <c:extLst>
            <c:ext xmlns:c16="http://schemas.microsoft.com/office/drawing/2014/chart" uri="{C3380CC4-5D6E-409C-BE32-E72D297353CC}">
              <c16:uniqueId val="{00000000-6FF5-4D60-A0DF-ED694F2EC166}"/>
            </c:ext>
          </c:extLst>
        </c:ser>
        <c:ser>
          <c:idx val="1"/>
          <c:order val="1"/>
          <c:tx>
            <c:v>MacDonald</c:v>
          </c:tx>
          <c:spPr>
            <a:ln w="28575">
              <a:noFill/>
            </a:ln>
          </c:spPr>
          <c:xVal>
            <c:numRef>
              <c:f>'Dam Regression Equations'!$E$11</c:f>
              <c:numCache>
                <c:formatCode>0.00</c:formatCode>
                <c:ptCount val="1"/>
                <c:pt idx="0">
                  <c:v>54.656736000000016</c:v>
                </c:pt>
              </c:numCache>
            </c:numRef>
          </c:xVal>
          <c:yVal>
            <c:numRef>
              <c:f>'Dam Regression Equations'!$E$23</c:f>
              <c:numCache>
                <c:formatCode>0.0</c:formatCode>
                <c:ptCount val="1"/>
                <c:pt idx="0">
                  <c:v>2.5114271158694512</c:v>
                </c:pt>
              </c:numCache>
            </c:numRef>
          </c:yVal>
          <c:smooth val="0"/>
          <c:extLst>
            <c:ext xmlns:c16="http://schemas.microsoft.com/office/drawing/2014/chart" uri="{C3380CC4-5D6E-409C-BE32-E72D297353CC}">
              <c16:uniqueId val="{00000001-6FF5-4D60-A0DF-ED694F2EC166}"/>
            </c:ext>
          </c:extLst>
        </c:ser>
        <c:ser>
          <c:idx val="2"/>
          <c:order val="2"/>
          <c:tx>
            <c:v>Froehlich1995</c:v>
          </c:tx>
          <c:spPr>
            <a:ln w="28575">
              <a:noFill/>
            </a:ln>
          </c:spPr>
          <c:xVal>
            <c:numRef>
              <c:f>'Dam Regression Equations'!$E$11</c:f>
              <c:numCache>
                <c:formatCode>0.00</c:formatCode>
                <c:ptCount val="1"/>
                <c:pt idx="0">
                  <c:v>54.656736000000016</c:v>
                </c:pt>
              </c:numCache>
            </c:numRef>
          </c:xVal>
          <c:yVal>
            <c:numRef>
              <c:f>'Dam Regression Equations'!$E$31</c:f>
              <c:numCache>
                <c:formatCode>#,##0.0</c:formatCode>
                <c:ptCount val="1"/>
                <c:pt idx="0">
                  <c:v>1.3139546630012227</c:v>
                </c:pt>
              </c:numCache>
            </c:numRef>
          </c:yVal>
          <c:smooth val="0"/>
          <c:extLst>
            <c:ext xmlns:c16="http://schemas.microsoft.com/office/drawing/2014/chart" uri="{C3380CC4-5D6E-409C-BE32-E72D297353CC}">
              <c16:uniqueId val="{00000002-6FF5-4D60-A0DF-ED694F2EC166}"/>
            </c:ext>
          </c:extLst>
        </c:ser>
        <c:ser>
          <c:idx val="3"/>
          <c:order val="3"/>
          <c:tx>
            <c:v>Froehlich2008</c:v>
          </c:tx>
          <c:spPr>
            <a:ln w="28575">
              <a:noFill/>
            </a:ln>
          </c:spPr>
          <c:xVal>
            <c:numRef>
              <c:f>'Dam Regression Equations'!$E$11</c:f>
              <c:numCache>
                <c:formatCode>0.00</c:formatCode>
                <c:ptCount val="1"/>
                <c:pt idx="0">
                  <c:v>54.656736000000016</c:v>
                </c:pt>
              </c:numCache>
            </c:numRef>
          </c:xVal>
          <c:yVal>
            <c:numRef>
              <c:f>'Dam Regression Equations'!$E$38</c:f>
              <c:numCache>
                <c:formatCode>#,##0.0</c:formatCode>
                <c:ptCount val="1"/>
                <c:pt idx="0">
                  <c:v>1.11302972116948</c:v>
                </c:pt>
              </c:numCache>
            </c:numRef>
          </c:yVal>
          <c:smooth val="0"/>
          <c:extLst>
            <c:ext xmlns:c16="http://schemas.microsoft.com/office/drawing/2014/chart" uri="{C3380CC4-5D6E-409C-BE32-E72D297353CC}">
              <c16:uniqueId val="{00000003-6FF5-4D60-A0DF-ED694F2EC166}"/>
            </c:ext>
          </c:extLst>
        </c:ser>
        <c:ser>
          <c:idx val="4"/>
          <c:order val="4"/>
          <c:tx>
            <c:v>Von Thun (erosion resistant)</c:v>
          </c:tx>
          <c:spPr>
            <a:ln w="28575">
              <a:noFill/>
            </a:ln>
          </c:spPr>
          <c:xVal>
            <c:numRef>
              <c:f>'Dam Regression Equations'!$E$11</c:f>
              <c:numCache>
                <c:formatCode>0.00</c:formatCode>
                <c:ptCount val="1"/>
                <c:pt idx="0">
                  <c:v>54.656736000000016</c:v>
                </c:pt>
              </c:numCache>
            </c:numRef>
          </c:xVal>
          <c:yVal>
            <c:numRef>
              <c:f>'Dam Regression Equations'!$E$45</c:f>
              <c:numCache>
                <c:formatCode>#,##0.0</c:formatCode>
                <c:ptCount val="1"/>
                <c:pt idx="0">
                  <c:v>1.3431347200000003</c:v>
                </c:pt>
              </c:numCache>
            </c:numRef>
          </c:yVal>
          <c:smooth val="0"/>
          <c:extLst>
            <c:ext xmlns:c16="http://schemas.microsoft.com/office/drawing/2014/chart" uri="{C3380CC4-5D6E-409C-BE32-E72D297353CC}">
              <c16:uniqueId val="{00000004-6FF5-4D60-A0DF-ED694F2EC166}"/>
            </c:ext>
          </c:extLst>
        </c:ser>
        <c:dLbls>
          <c:showLegendKey val="0"/>
          <c:showVal val="0"/>
          <c:showCatName val="0"/>
          <c:showSerName val="0"/>
          <c:showPercent val="0"/>
          <c:showBubbleSize val="0"/>
        </c:dLbls>
        <c:axId val="651000136"/>
        <c:axId val="650998176"/>
      </c:scatterChart>
      <c:valAx>
        <c:axId val="651000136"/>
        <c:scaling>
          <c:logBase val="10"/>
          <c:orientation val="minMax"/>
        </c:scaling>
        <c:delete val="0"/>
        <c:axPos val="b"/>
        <c:title>
          <c:tx>
            <c:rich>
              <a:bodyPr/>
              <a:lstStyle/>
              <a:p>
                <a:pPr>
                  <a:defRPr sz="2000"/>
                </a:pPr>
                <a:r>
                  <a:rPr lang="en-US" sz="2000"/>
                  <a:t>Hw </a:t>
                </a:r>
              </a:p>
            </c:rich>
          </c:tx>
          <c:layout>
            <c:manualLayout>
              <c:xMode val="edge"/>
              <c:yMode val="edge"/>
              <c:x val="0.49780416103449254"/>
              <c:y val="0.91179268352325527"/>
            </c:manualLayout>
          </c:layout>
          <c:overlay val="0"/>
        </c:title>
        <c:numFmt formatCode="0E+##" sourceLinked="0"/>
        <c:majorTickMark val="out"/>
        <c:minorTickMark val="none"/>
        <c:tickLblPos val="nextTo"/>
        <c:txPr>
          <a:bodyPr/>
          <a:lstStyle/>
          <a:p>
            <a:pPr>
              <a:defRPr sz="1400"/>
            </a:pPr>
            <a:endParaRPr lang="en-US"/>
          </a:p>
        </c:txPr>
        <c:crossAx val="650998176"/>
        <c:crossesAt val="0.1"/>
        <c:crossBetween val="midCat"/>
      </c:valAx>
      <c:valAx>
        <c:axId val="650998176"/>
        <c:scaling>
          <c:logBase val="10"/>
          <c:orientation val="minMax"/>
        </c:scaling>
        <c:delete val="0"/>
        <c:axPos val="l"/>
        <c:majorGridlines/>
        <c:title>
          <c:tx>
            <c:rich>
              <a:bodyPr rot="0" vert="horz"/>
              <a:lstStyle/>
              <a:p>
                <a:pPr>
                  <a:defRPr sz="2000"/>
                </a:pPr>
                <a:r>
                  <a:rPr lang="en-US" sz="2000"/>
                  <a:t>tf</a:t>
                </a:r>
                <a:r>
                  <a:rPr lang="en-US" sz="2000" baseline="0"/>
                  <a:t> (hr)</a:t>
                </a:r>
                <a:endParaRPr lang="en-US" sz="2000"/>
              </a:p>
            </c:rich>
          </c:tx>
          <c:layout>
            <c:manualLayout>
              <c:xMode val="edge"/>
              <c:yMode val="edge"/>
              <c:x val="2.0319553805774281E-2"/>
              <c:y val="0.50571451158966552"/>
            </c:manualLayout>
          </c:layout>
          <c:overlay val="0"/>
        </c:title>
        <c:numFmt formatCode="0E+##" sourceLinked="0"/>
        <c:majorTickMark val="out"/>
        <c:minorTickMark val="none"/>
        <c:tickLblPos val="nextTo"/>
        <c:txPr>
          <a:bodyPr/>
          <a:lstStyle/>
          <a:p>
            <a:pPr>
              <a:defRPr sz="1400"/>
            </a:pPr>
            <a:endParaRPr lang="en-US"/>
          </a:p>
        </c:txPr>
        <c:crossAx val="651000136"/>
        <c:crossesAt val="0.1"/>
        <c:crossBetween val="midCat"/>
      </c:valAx>
    </c:plotArea>
    <c:legend>
      <c:legendPos val="b"/>
      <c:overlay val="0"/>
      <c:spPr>
        <a:solidFill>
          <a:sysClr val="window" lastClr="FFFFFF"/>
        </a:solidFill>
        <a:ln>
          <a:solidFill>
            <a:srgbClr val="4F81BD"/>
          </a:solidFill>
        </a:ln>
      </c:spPr>
      <c:txPr>
        <a:bodyPr/>
        <a:lstStyle/>
        <a:p>
          <a:pPr>
            <a:defRPr sz="1400" b="1" baseline="0"/>
          </a:pPr>
          <a:endParaRPr lang="en-US"/>
        </a:p>
      </c:txPr>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Formation</a:t>
            </a:r>
            <a:r>
              <a:rPr lang="en-US" sz="2400" baseline="0"/>
              <a:t> Time </a:t>
            </a:r>
            <a:r>
              <a:rPr lang="en-US" sz="2400"/>
              <a:t>vs </a:t>
            </a:r>
          </a:p>
          <a:p>
            <a:pPr>
              <a:defRPr sz="2400"/>
            </a:pPr>
            <a:r>
              <a:rPr lang="en-US" sz="2400"/>
              <a:t>Pool Volume</a:t>
            </a:r>
          </a:p>
        </c:rich>
      </c:tx>
      <c:layout>
        <c:manualLayout>
          <c:xMode val="edge"/>
          <c:yMode val="edge"/>
          <c:x val="0.31906608739370496"/>
          <c:y val="1.4407924358397125E-2"/>
        </c:manualLayout>
      </c:layout>
      <c:overlay val="1"/>
    </c:title>
    <c:autoTitleDeleted val="0"/>
    <c:plotArea>
      <c:layout>
        <c:manualLayout>
          <c:layoutTarget val="inner"/>
          <c:xMode val="edge"/>
          <c:yMode val="edge"/>
          <c:x val="0.10190454184197659"/>
          <c:y val="0.12627666476404537"/>
          <c:w val="0.84633994114166733"/>
          <c:h val="0.73947409657989382"/>
        </c:manualLayout>
      </c:layout>
      <c:scatterChart>
        <c:scatterStyle val="lineMarker"/>
        <c:varyColors val="0"/>
        <c:ser>
          <c:idx val="0"/>
          <c:order val="0"/>
          <c:tx>
            <c:v>Historic Dam Failures</c:v>
          </c:tx>
          <c:spPr>
            <a:ln w="28575">
              <a:noFill/>
            </a:ln>
          </c:spPr>
          <c:xVal>
            <c:numRef>
              <c:f>'Filtered Data &amp; Plots'!$T$8:$T$84</c:f>
              <c:numCache>
                <c:formatCode>General</c:formatCode>
                <c:ptCount val="77"/>
                <c:pt idx="0">
                  <c:v>22200000</c:v>
                </c:pt>
                <c:pt idx="1">
                  <c:v>910000</c:v>
                </c:pt>
                <c:pt idx="2">
                  <c:v>49300</c:v>
                </c:pt>
                <c:pt idx="3">
                  <c:v>24700</c:v>
                </c:pt>
                <c:pt idx="4" formatCode="0.00E+00_)">
                  <c:v>483525</c:v>
                </c:pt>
                <c:pt idx="5">
                  <c:v>740000</c:v>
                </c:pt>
                <c:pt idx="6">
                  <c:v>2380000</c:v>
                </c:pt>
                <c:pt idx="7">
                  <c:v>6170000</c:v>
                </c:pt>
                <c:pt idx="8">
                  <c:v>698000</c:v>
                </c:pt>
                <c:pt idx="9">
                  <c:v>466000</c:v>
                </c:pt>
                <c:pt idx="10">
                  <c:v>311000</c:v>
                </c:pt>
                <c:pt idx="11">
                  <c:v>1870000</c:v>
                </c:pt>
                <c:pt idx="12">
                  <c:v>1180000</c:v>
                </c:pt>
                <c:pt idx="13">
                  <c:v>425000</c:v>
                </c:pt>
                <c:pt idx="14">
                  <c:v>493000</c:v>
                </c:pt>
                <c:pt idx="15" formatCode="0.00E+00_)">
                  <c:v>351542</c:v>
                </c:pt>
                <c:pt idx="16">
                  <c:v>3870000</c:v>
                </c:pt>
                <c:pt idx="17">
                  <c:v>16000000</c:v>
                </c:pt>
                <c:pt idx="18" formatCode="0.00E+00_)">
                  <c:v>10600000</c:v>
                </c:pt>
                <c:pt idx="19">
                  <c:v>25500</c:v>
                </c:pt>
                <c:pt idx="20">
                  <c:v>23400</c:v>
                </c:pt>
                <c:pt idx="21">
                  <c:v>6350000</c:v>
                </c:pt>
                <c:pt idx="22">
                  <c:v>14800000</c:v>
                </c:pt>
                <c:pt idx="23">
                  <c:v>30600000</c:v>
                </c:pt>
                <c:pt idx="24">
                  <c:v>12800000</c:v>
                </c:pt>
                <c:pt idx="25">
                  <c:v>1170000</c:v>
                </c:pt>
                <c:pt idx="26">
                  <c:v>333000</c:v>
                </c:pt>
                <c:pt idx="27">
                  <c:v>160000</c:v>
                </c:pt>
                <c:pt idx="28">
                  <c:v>423000</c:v>
                </c:pt>
                <c:pt idx="29">
                  <c:v>575000</c:v>
                </c:pt>
                <c:pt idx="30">
                  <c:v>18900000</c:v>
                </c:pt>
                <c:pt idx="31">
                  <c:v>777000</c:v>
                </c:pt>
                <c:pt idx="32">
                  <c:v>177000</c:v>
                </c:pt>
                <c:pt idx="33">
                  <c:v>78900000</c:v>
                </c:pt>
                <c:pt idx="34">
                  <c:v>31500000</c:v>
                </c:pt>
                <c:pt idx="35">
                  <c:v>789000</c:v>
                </c:pt>
                <c:pt idx="36">
                  <c:v>680000</c:v>
                </c:pt>
                <c:pt idx="37">
                  <c:v>4090000</c:v>
                </c:pt>
                <c:pt idx="38">
                  <c:v>4780000</c:v>
                </c:pt>
                <c:pt idx="39">
                  <c:v>296000</c:v>
                </c:pt>
                <c:pt idx="40">
                  <c:v>555000</c:v>
                </c:pt>
                <c:pt idx="41">
                  <c:v>798000</c:v>
                </c:pt>
                <c:pt idx="42">
                  <c:v>92500</c:v>
                </c:pt>
                <c:pt idx="43">
                  <c:v>1360000</c:v>
                </c:pt>
                <c:pt idx="44">
                  <c:v>284000</c:v>
                </c:pt>
                <c:pt idx="45">
                  <c:v>7080000</c:v>
                </c:pt>
                <c:pt idx="46">
                  <c:v>49300000</c:v>
                </c:pt>
                <c:pt idx="47">
                  <c:v>29600000</c:v>
                </c:pt>
                <c:pt idx="48">
                  <c:v>35800000</c:v>
                </c:pt>
                <c:pt idx="49">
                  <c:v>2880000</c:v>
                </c:pt>
                <c:pt idx="50">
                  <c:v>24700000</c:v>
                </c:pt>
                <c:pt idx="51">
                  <c:v>69600</c:v>
                </c:pt>
                <c:pt idx="52">
                  <c:v>4130000</c:v>
                </c:pt>
                <c:pt idx="53">
                  <c:v>660000000</c:v>
                </c:pt>
                <c:pt idx="54">
                  <c:v>109000</c:v>
                </c:pt>
                <c:pt idx="55">
                  <c:v>4070000</c:v>
                </c:pt>
                <c:pt idx="56">
                  <c:v>105000</c:v>
                </c:pt>
                <c:pt idx="57">
                  <c:v>3540000</c:v>
                </c:pt>
                <c:pt idx="58">
                  <c:v>30800000</c:v>
                </c:pt>
                <c:pt idx="59">
                  <c:v>6780000</c:v>
                </c:pt>
                <c:pt idx="60">
                  <c:v>13900</c:v>
                </c:pt>
                <c:pt idx="61">
                  <c:v>24700</c:v>
                </c:pt>
                <c:pt idx="62" formatCode="0.00E+00_)">
                  <c:v>71541947</c:v>
                </c:pt>
                <c:pt idx="63">
                  <c:v>4440000</c:v>
                </c:pt>
                <c:pt idx="64">
                  <c:v>86000</c:v>
                </c:pt>
                <c:pt idx="65" formatCode="0.00E+00_)">
                  <c:v>2911017</c:v>
                </c:pt>
                <c:pt idx="66" formatCode="0.00E+00_)">
                  <c:v>3330401</c:v>
                </c:pt>
                <c:pt idx="67">
                  <c:v>136000</c:v>
                </c:pt>
                <c:pt idx="68">
                  <c:v>564000</c:v>
                </c:pt>
                <c:pt idx="69" formatCode="0.00E+00_)">
                  <c:v>37004455</c:v>
                </c:pt>
                <c:pt idx="70">
                  <c:v>310000000</c:v>
                </c:pt>
                <c:pt idx="71">
                  <c:v>1480000</c:v>
                </c:pt>
                <c:pt idx="72">
                  <c:v>493000</c:v>
                </c:pt>
                <c:pt idx="73">
                  <c:v>222000</c:v>
                </c:pt>
                <c:pt idx="74">
                  <c:v>11600000</c:v>
                </c:pt>
                <c:pt idx="75">
                  <c:v>533000</c:v>
                </c:pt>
                <c:pt idx="76">
                  <c:v>662000</c:v>
                </c:pt>
              </c:numCache>
            </c:numRef>
          </c:xVal>
          <c:yVal>
            <c:numRef>
              <c:f>'Filtered Data &amp; Plots'!$AF$8:$AF$84</c:f>
              <c:numCache>
                <c:formatCode>General</c:formatCode>
                <c:ptCount val="77"/>
                <c:pt idx="0">
                  <c:v>0.75</c:v>
                </c:pt>
                <c:pt idx="1">
                  <c:v>0.33333333333333331</c:v>
                </c:pt>
                <c:pt idx="7">
                  <c:v>0.5</c:v>
                </c:pt>
                <c:pt idx="10">
                  <c:v>0.25</c:v>
                </c:pt>
                <c:pt idx="16">
                  <c:v>0.58333333333333337</c:v>
                </c:pt>
                <c:pt idx="22">
                  <c:v>1</c:v>
                </c:pt>
                <c:pt idx="23">
                  <c:v>0.75</c:v>
                </c:pt>
                <c:pt idx="27">
                  <c:v>0.5</c:v>
                </c:pt>
                <c:pt idx="30">
                  <c:v>0.75</c:v>
                </c:pt>
                <c:pt idx="43">
                  <c:v>0.33333333333333331</c:v>
                </c:pt>
                <c:pt idx="45">
                  <c:v>1.5</c:v>
                </c:pt>
                <c:pt idx="46">
                  <c:v>1</c:v>
                </c:pt>
                <c:pt idx="53">
                  <c:v>8.5</c:v>
                </c:pt>
                <c:pt idx="55">
                  <c:v>1</c:v>
                </c:pt>
                <c:pt idx="57">
                  <c:v>2.5</c:v>
                </c:pt>
                <c:pt idx="58">
                  <c:v>1</c:v>
                </c:pt>
                <c:pt idx="63">
                  <c:v>0.5</c:v>
                </c:pt>
                <c:pt idx="70">
                  <c:v>1.25</c:v>
                </c:pt>
                <c:pt idx="74">
                  <c:v>1.5</c:v>
                </c:pt>
              </c:numCache>
            </c:numRef>
          </c:yVal>
          <c:smooth val="0"/>
          <c:extLst>
            <c:ext xmlns:c16="http://schemas.microsoft.com/office/drawing/2014/chart" uri="{C3380CC4-5D6E-409C-BE32-E72D297353CC}">
              <c16:uniqueId val="{00000000-8F9B-400E-85A4-99E2C1566679}"/>
            </c:ext>
          </c:extLst>
        </c:ser>
        <c:ser>
          <c:idx val="1"/>
          <c:order val="1"/>
          <c:tx>
            <c:v>MacDonald</c:v>
          </c:tx>
          <c:spPr>
            <a:ln w="28575">
              <a:noFill/>
            </a:ln>
          </c:spPr>
          <c:xVal>
            <c:numRef>
              <c:f>'Dam Regression Equations'!$E$10</c:f>
              <c:numCache>
                <c:formatCode>#,##0</c:formatCode>
                <c:ptCount val="1"/>
                <c:pt idx="0">
                  <c:v>117758544.5</c:v>
                </c:pt>
              </c:numCache>
            </c:numRef>
          </c:xVal>
          <c:yVal>
            <c:numRef>
              <c:f>'Dam Regression Equations'!$E$23</c:f>
              <c:numCache>
                <c:formatCode>0.0</c:formatCode>
                <c:ptCount val="1"/>
                <c:pt idx="0">
                  <c:v>2.5114271158694512</c:v>
                </c:pt>
              </c:numCache>
            </c:numRef>
          </c:yVal>
          <c:smooth val="0"/>
          <c:extLst>
            <c:ext xmlns:c16="http://schemas.microsoft.com/office/drawing/2014/chart" uri="{C3380CC4-5D6E-409C-BE32-E72D297353CC}">
              <c16:uniqueId val="{00000001-8F9B-400E-85A4-99E2C1566679}"/>
            </c:ext>
          </c:extLst>
        </c:ser>
        <c:ser>
          <c:idx val="2"/>
          <c:order val="2"/>
          <c:tx>
            <c:v>Froehlich1995</c:v>
          </c:tx>
          <c:spPr>
            <a:ln w="28575">
              <a:noFill/>
            </a:ln>
          </c:spPr>
          <c:xVal>
            <c:numRef>
              <c:f>'Dam Regression Equations'!$E$10</c:f>
              <c:numCache>
                <c:formatCode>#,##0</c:formatCode>
                <c:ptCount val="1"/>
                <c:pt idx="0">
                  <c:v>117758544.5</c:v>
                </c:pt>
              </c:numCache>
            </c:numRef>
          </c:xVal>
          <c:yVal>
            <c:numRef>
              <c:f>'Dam Regression Equations'!$E$31</c:f>
              <c:numCache>
                <c:formatCode>#,##0.0</c:formatCode>
                <c:ptCount val="1"/>
                <c:pt idx="0">
                  <c:v>1.3139546630012227</c:v>
                </c:pt>
              </c:numCache>
            </c:numRef>
          </c:yVal>
          <c:smooth val="0"/>
          <c:extLst>
            <c:ext xmlns:c16="http://schemas.microsoft.com/office/drawing/2014/chart" uri="{C3380CC4-5D6E-409C-BE32-E72D297353CC}">
              <c16:uniqueId val="{00000002-8F9B-400E-85A4-99E2C1566679}"/>
            </c:ext>
          </c:extLst>
        </c:ser>
        <c:ser>
          <c:idx val="3"/>
          <c:order val="3"/>
          <c:tx>
            <c:v>Froehlich2008</c:v>
          </c:tx>
          <c:spPr>
            <a:ln w="28575">
              <a:noFill/>
            </a:ln>
          </c:spPr>
          <c:xVal>
            <c:numRef>
              <c:f>'Dam Regression Equations'!$E$10</c:f>
              <c:numCache>
                <c:formatCode>#,##0</c:formatCode>
                <c:ptCount val="1"/>
                <c:pt idx="0">
                  <c:v>117758544.5</c:v>
                </c:pt>
              </c:numCache>
            </c:numRef>
          </c:xVal>
          <c:yVal>
            <c:numRef>
              <c:f>'Dam Regression Equations'!$E$38</c:f>
              <c:numCache>
                <c:formatCode>#,##0.0</c:formatCode>
                <c:ptCount val="1"/>
                <c:pt idx="0">
                  <c:v>1.11302972116948</c:v>
                </c:pt>
              </c:numCache>
            </c:numRef>
          </c:yVal>
          <c:smooth val="0"/>
          <c:extLst>
            <c:ext xmlns:c16="http://schemas.microsoft.com/office/drawing/2014/chart" uri="{C3380CC4-5D6E-409C-BE32-E72D297353CC}">
              <c16:uniqueId val="{00000003-8F9B-400E-85A4-99E2C1566679}"/>
            </c:ext>
          </c:extLst>
        </c:ser>
        <c:ser>
          <c:idx val="4"/>
          <c:order val="4"/>
          <c:tx>
            <c:v>Von Thun (erosion resistant)</c:v>
          </c:tx>
          <c:spPr>
            <a:ln w="28575">
              <a:noFill/>
            </a:ln>
          </c:spPr>
          <c:xVal>
            <c:numRef>
              <c:f>'Dam Regression Equations'!$E$10</c:f>
              <c:numCache>
                <c:formatCode>#,##0</c:formatCode>
                <c:ptCount val="1"/>
                <c:pt idx="0">
                  <c:v>117758544.5</c:v>
                </c:pt>
              </c:numCache>
            </c:numRef>
          </c:xVal>
          <c:yVal>
            <c:numRef>
              <c:f>'Dam Regression Equations'!$E$45</c:f>
              <c:numCache>
                <c:formatCode>#,##0.0</c:formatCode>
                <c:ptCount val="1"/>
                <c:pt idx="0">
                  <c:v>1.3431347200000003</c:v>
                </c:pt>
              </c:numCache>
            </c:numRef>
          </c:yVal>
          <c:smooth val="0"/>
          <c:extLst>
            <c:ext xmlns:c16="http://schemas.microsoft.com/office/drawing/2014/chart" uri="{C3380CC4-5D6E-409C-BE32-E72D297353CC}">
              <c16:uniqueId val="{00000004-8F9B-400E-85A4-99E2C1566679}"/>
            </c:ext>
          </c:extLst>
        </c:ser>
        <c:dLbls>
          <c:showLegendKey val="0"/>
          <c:showVal val="0"/>
          <c:showCatName val="0"/>
          <c:showSerName val="0"/>
          <c:showPercent val="0"/>
          <c:showBubbleSize val="0"/>
        </c:dLbls>
        <c:axId val="651000528"/>
        <c:axId val="651001704"/>
      </c:scatterChart>
      <c:valAx>
        <c:axId val="651000528"/>
        <c:scaling>
          <c:logBase val="10"/>
          <c:orientation val="minMax"/>
        </c:scaling>
        <c:delete val="0"/>
        <c:axPos val="b"/>
        <c:majorGridlines>
          <c:spPr>
            <a:ln>
              <a:solidFill>
                <a:schemeClr val="bg1">
                  <a:lumMod val="85000"/>
                </a:schemeClr>
              </a:solidFill>
            </a:ln>
          </c:spPr>
        </c:majorGridlines>
        <c:title>
          <c:tx>
            <c:rich>
              <a:bodyPr/>
              <a:lstStyle/>
              <a:p>
                <a:pPr>
                  <a:defRPr sz="2000"/>
                </a:pPr>
                <a:r>
                  <a:rPr lang="en-US" sz="2000"/>
                  <a:t>Vw (m^3)</a:t>
                </a:r>
              </a:p>
            </c:rich>
          </c:tx>
          <c:layout>
            <c:manualLayout>
              <c:xMode val="edge"/>
              <c:yMode val="edge"/>
              <c:x val="0.444946751260409"/>
              <c:y val="0.907723669608413"/>
            </c:manualLayout>
          </c:layout>
          <c:overlay val="0"/>
        </c:title>
        <c:numFmt formatCode="0E+##" sourceLinked="0"/>
        <c:majorTickMark val="out"/>
        <c:minorTickMark val="none"/>
        <c:tickLblPos val="nextTo"/>
        <c:txPr>
          <a:bodyPr/>
          <a:lstStyle/>
          <a:p>
            <a:pPr>
              <a:defRPr sz="1400"/>
            </a:pPr>
            <a:endParaRPr lang="en-US"/>
          </a:p>
        </c:txPr>
        <c:crossAx val="651001704"/>
        <c:crossesAt val="1.0000000000000045E-5"/>
        <c:crossBetween val="midCat"/>
      </c:valAx>
      <c:valAx>
        <c:axId val="651001704"/>
        <c:scaling>
          <c:logBase val="10"/>
          <c:orientation val="minMax"/>
          <c:min val="1.0000000000000045E-5"/>
        </c:scaling>
        <c:delete val="0"/>
        <c:axPos val="l"/>
        <c:majorGridlines>
          <c:spPr>
            <a:ln>
              <a:solidFill>
                <a:schemeClr val="bg1">
                  <a:lumMod val="85000"/>
                </a:schemeClr>
              </a:solidFill>
            </a:ln>
          </c:spPr>
        </c:majorGridlines>
        <c:title>
          <c:tx>
            <c:rich>
              <a:bodyPr rot="0" vert="horz"/>
              <a:lstStyle/>
              <a:p>
                <a:pPr>
                  <a:defRPr sz="2000"/>
                </a:pPr>
                <a:r>
                  <a:rPr lang="en-US" sz="2000"/>
                  <a:t>tf (hr)</a:t>
                </a:r>
              </a:p>
            </c:rich>
          </c:tx>
          <c:layout>
            <c:manualLayout>
              <c:xMode val="edge"/>
              <c:yMode val="edge"/>
              <c:x val="1.5484714590532299E-2"/>
              <c:y val="0.52464381969032392"/>
            </c:manualLayout>
          </c:layout>
          <c:overlay val="0"/>
        </c:title>
        <c:numFmt formatCode="0E+##" sourceLinked="0"/>
        <c:majorTickMark val="out"/>
        <c:minorTickMark val="none"/>
        <c:tickLblPos val="nextTo"/>
        <c:txPr>
          <a:bodyPr/>
          <a:lstStyle/>
          <a:p>
            <a:pPr>
              <a:defRPr sz="1400"/>
            </a:pPr>
            <a:endParaRPr lang="en-US"/>
          </a:p>
        </c:txPr>
        <c:crossAx val="651000528"/>
        <c:crossesAt val="1.0000000000000033E-3"/>
        <c:crossBetween val="midCat"/>
      </c:valAx>
    </c:plotArea>
    <c:legend>
      <c:legendPos val="b"/>
      <c:overlay val="0"/>
      <c:spPr>
        <a:solidFill>
          <a:sysClr val="window" lastClr="FFFFFF"/>
        </a:solidFill>
        <a:ln>
          <a:solidFill>
            <a:srgbClr val="4F81BD"/>
          </a:solidFill>
        </a:ln>
      </c:spPr>
      <c:txPr>
        <a:bodyPr/>
        <a:lstStyle/>
        <a:p>
          <a:pPr>
            <a:defRPr sz="1400" b="1" baseline="0"/>
          </a:pPr>
          <a:endParaRPr lang="en-US"/>
        </a:p>
      </c:txPr>
    </c:legend>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1514475</xdr:colOff>
      <xdr:row>37</xdr:row>
      <xdr:rowOff>171450</xdr:rowOff>
    </xdr:from>
    <xdr:to>
      <xdr:col>14</xdr:col>
      <xdr:colOff>942975</xdr:colOff>
      <xdr:row>51</xdr:row>
      <xdr:rowOff>23084</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467725" y="7353300"/>
          <a:ext cx="4600575" cy="2537684"/>
        </a:xfrm>
        <a:prstGeom prst="rect">
          <a:avLst/>
        </a:prstGeom>
        <a:noFill/>
        <a:ln w="1">
          <a:noFill/>
          <a:miter lim="800000"/>
          <a:headEnd/>
          <a:tailEnd type="none" w="med" len="med"/>
        </a:ln>
        <a:effectLst/>
      </xdr:spPr>
    </xdr:pic>
    <xdr:clientData/>
  </xdr:twoCellAnchor>
  <xdr:twoCellAnchor editAs="oneCell">
    <xdr:from>
      <xdr:col>9</xdr:col>
      <xdr:colOff>1438275</xdr:colOff>
      <xdr:row>26</xdr:row>
      <xdr:rowOff>66676</xdr:rowOff>
    </xdr:from>
    <xdr:to>
      <xdr:col>14</xdr:col>
      <xdr:colOff>1022538</xdr:colOff>
      <xdr:row>37</xdr:row>
      <xdr:rowOff>171450</xdr:rowOff>
    </xdr:to>
    <xdr:pic>
      <xdr:nvPicPr>
        <xdr:cNvPr id="2060" name="Picture 12">
          <a:extLst>
            <a:ext uri="{FF2B5EF4-FFF2-40B4-BE49-F238E27FC236}">
              <a16:creationId xmlns:a16="http://schemas.microsoft.com/office/drawing/2014/main" id="{00000000-0008-0000-0000-00000C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391525" y="5153026"/>
          <a:ext cx="4756338" cy="2200274"/>
        </a:xfrm>
        <a:prstGeom prst="rect">
          <a:avLst/>
        </a:prstGeom>
        <a:noFill/>
        <a:ln w="1">
          <a:noFill/>
          <a:miter lim="800000"/>
          <a:headEnd/>
          <a:tailEnd type="none" w="med" len="med"/>
        </a:ln>
        <a:effectLst/>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16</xdr:row>
          <xdr:rowOff>0</xdr:rowOff>
        </xdr:from>
        <xdr:to>
          <xdr:col>5</xdr:col>
          <xdr:colOff>19050</xdr:colOff>
          <xdr:row>17</xdr:row>
          <xdr:rowOff>9525</xdr:rowOff>
        </xdr:to>
        <xdr:sp macro="" textlink="">
          <xdr:nvSpPr>
            <xdr:cNvPr id="2058" name="ComboBox1"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16</xdr:col>
      <xdr:colOff>209550</xdr:colOff>
      <xdr:row>4</xdr:row>
      <xdr:rowOff>95250</xdr:rowOff>
    </xdr:from>
    <xdr:to>
      <xdr:col>26</xdr:col>
      <xdr:colOff>295275</xdr:colOff>
      <xdr:row>23</xdr:row>
      <xdr:rowOff>114300</xdr:rowOff>
    </xdr:to>
    <xdr:pic>
      <xdr:nvPicPr>
        <xdr:cNvPr id="2051" name="Picture 3">
          <a:extLst>
            <a:ext uri="{FF2B5EF4-FFF2-40B4-BE49-F238E27FC236}">
              <a16:creationId xmlns:a16="http://schemas.microsoft.com/office/drawing/2014/main" id="{00000000-0008-0000-0600-000003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92025" y="6629400"/>
          <a:ext cx="6181725" cy="30956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161925</xdr:colOff>
      <xdr:row>4</xdr:row>
      <xdr:rowOff>95250</xdr:rowOff>
    </xdr:from>
    <xdr:to>
      <xdr:col>16</xdr:col>
      <xdr:colOff>152400</xdr:colOff>
      <xdr:row>23</xdr:row>
      <xdr:rowOff>114300</xdr:rowOff>
    </xdr:to>
    <xdr:pic>
      <xdr:nvPicPr>
        <xdr:cNvPr id="2052" name="Picture 4">
          <a:extLst>
            <a:ext uri="{FF2B5EF4-FFF2-40B4-BE49-F238E27FC236}">
              <a16:creationId xmlns:a16="http://schemas.microsoft.com/office/drawing/2014/main" id="{00000000-0008-0000-0600-000004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391275" y="6229350"/>
          <a:ext cx="5953125" cy="32766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25</xdr:row>
      <xdr:rowOff>38100</xdr:rowOff>
    </xdr:from>
    <xdr:to>
      <xdr:col>7</xdr:col>
      <xdr:colOff>581025</xdr:colOff>
      <xdr:row>37</xdr:row>
      <xdr:rowOff>152400</xdr:rowOff>
    </xdr:to>
    <xdr:pic>
      <xdr:nvPicPr>
        <xdr:cNvPr id="2054" name="Picture 6">
          <a:extLst>
            <a:ext uri="{FF2B5EF4-FFF2-40B4-BE49-F238E27FC236}">
              <a16:creationId xmlns:a16="http://schemas.microsoft.com/office/drawing/2014/main" id="{00000000-0008-0000-0600-000006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57150" y="9772650"/>
          <a:ext cx="6143625" cy="21717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104775</xdr:colOff>
      <xdr:row>25</xdr:row>
      <xdr:rowOff>47625</xdr:rowOff>
    </xdr:from>
    <xdr:to>
      <xdr:col>13</xdr:col>
      <xdr:colOff>666750</xdr:colOff>
      <xdr:row>37</xdr:row>
      <xdr:rowOff>95250</xdr:rowOff>
    </xdr:to>
    <xdr:pic>
      <xdr:nvPicPr>
        <xdr:cNvPr id="2055" name="Picture 7">
          <a:extLst>
            <a:ext uri="{FF2B5EF4-FFF2-40B4-BE49-F238E27FC236}">
              <a16:creationId xmlns:a16="http://schemas.microsoft.com/office/drawing/2014/main" id="{00000000-0008-0000-0600-000007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324600" y="9382125"/>
          <a:ext cx="5210175" cy="19907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47625</xdr:colOff>
      <xdr:row>25</xdr:row>
      <xdr:rowOff>47625</xdr:rowOff>
    </xdr:from>
    <xdr:to>
      <xdr:col>21</xdr:col>
      <xdr:colOff>295275</xdr:colOff>
      <xdr:row>30</xdr:row>
      <xdr:rowOff>28575</xdr:rowOff>
    </xdr:to>
    <xdr:pic>
      <xdr:nvPicPr>
        <xdr:cNvPr id="2056" name="Picture 8">
          <a:extLst>
            <a:ext uri="{FF2B5EF4-FFF2-40B4-BE49-F238E27FC236}">
              <a16:creationId xmlns:a16="http://schemas.microsoft.com/office/drawing/2014/main" id="{00000000-0008-0000-0600-0000080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1620500" y="9344025"/>
          <a:ext cx="3952875" cy="790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39</xdr:row>
      <xdr:rowOff>57150</xdr:rowOff>
    </xdr:from>
    <xdr:to>
      <xdr:col>7</xdr:col>
      <xdr:colOff>542925</xdr:colOff>
      <xdr:row>52</xdr:row>
      <xdr:rowOff>142875</xdr:rowOff>
    </xdr:to>
    <xdr:pic>
      <xdr:nvPicPr>
        <xdr:cNvPr id="2057" name="Picture 9">
          <a:extLst>
            <a:ext uri="{FF2B5EF4-FFF2-40B4-BE49-F238E27FC236}">
              <a16:creationId xmlns:a16="http://schemas.microsoft.com/office/drawing/2014/main" id="{00000000-0008-0000-0600-0000090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57150" y="12192000"/>
          <a:ext cx="6105525" cy="2314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57150</xdr:colOff>
      <xdr:row>39</xdr:row>
      <xdr:rowOff>57150</xdr:rowOff>
    </xdr:from>
    <xdr:to>
      <xdr:col>13</xdr:col>
      <xdr:colOff>628650</xdr:colOff>
      <xdr:row>52</xdr:row>
      <xdr:rowOff>114300</xdr:rowOff>
    </xdr:to>
    <xdr:pic>
      <xdr:nvPicPr>
        <xdr:cNvPr id="2058" name="Picture 10">
          <a:extLst>
            <a:ext uri="{FF2B5EF4-FFF2-40B4-BE49-F238E27FC236}">
              <a16:creationId xmlns:a16="http://schemas.microsoft.com/office/drawing/2014/main" id="{00000000-0008-0000-0600-00000A0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6286500" y="12192000"/>
          <a:ext cx="5219700" cy="22860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28575</xdr:colOff>
      <xdr:row>39</xdr:row>
      <xdr:rowOff>47625</xdr:rowOff>
    </xdr:from>
    <xdr:to>
      <xdr:col>20</xdr:col>
      <xdr:colOff>142875</xdr:colOff>
      <xdr:row>41</xdr:row>
      <xdr:rowOff>152400</xdr:rowOff>
    </xdr:to>
    <xdr:pic>
      <xdr:nvPicPr>
        <xdr:cNvPr id="2059" name="Picture 11">
          <a:extLst>
            <a:ext uri="{FF2B5EF4-FFF2-40B4-BE49-F238E27FC236}">
              <a16:creationId xmlns:a16="http://schemas.microsoft.com/office/drawing/2014/main" id="{00000000-0008-0000-0600-00000B0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1601450" y="11772900"/>
          <a:ext cx="3190875" cy="4286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54</xdr:row>
      <xdr:rowOff>76200</xdr:rowOff>
    </xdr:from>
    <xdr:to>
      <xdr:col>8</xdr:col>
      <xdr:colOff>38100</xdr:colOff>
      <xdr:row>69</xdr:row>
      <xdr:rowOff>28575</xdr:rowOff>
    </xdr:to>
    <xdr:pic>
      <xdr:nvPicPr>
        <xdr:cNvPr id="2060" name="Picture 12">
          <a:extLst>
            <a:ext uri="{FF2B5EF4-FFF2-40B4-BE49-F238E27FC236}">
              <a16:creationId xmlns:a16="http://schemas.microsoft.com/office/drawing/2014/main" id="{00000000-0008-0000-0600-00000C0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57150" y="14782800"/>
          <a:ext cx="6210300" cy="25241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133350</xdr:colOff>
      <xdr:row>54</xdr:row>
      <xdr:rowOff>57150</xdr:rowOff>
    </xdr:from>
    <xdr:to>
      <xdr:col>15</xdr:col>
      <xdr:colOff>352425</xdr:colOff>
      <xdr:row>61</xdr:row>
      <xdr:rowOff>0</xdr:rowOff>
    </xdr:to>
    <xdr:pic>
      <xdr:nvPicPr>
        <xdr:cNvPr id="2061" name="Picture 13">
          <a:extLst>
            <a:ext uri="{FF2B5EF4-FFF2-40B4-BE49-F238E27FC236}">
              <a16:creationId xmlns:a16="http://schemas.microsoft.com/office/drawing/2014/main" id="{00000000-0008-0000-0600-00000D0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6362700" y="14763750"/>
          <a:ext cx="5572125" cy="11430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123825</xdr:colOff>
      <xdr:row>61</xdr:row>
      <xdr:rowOff>76201</xdr:rowOff>
    </xdr:from>
    <xdr:to>
      <xdr:col>15</xdr:col>
      <xdr:colOff>381000</xdr:colOff>
      <xdr:row>67</xdr:row>
      <xdr:rowOff>68765</xdr:rowOff>
    </xdr:to>
    <xdr:pic>
      <xdr:nvPicPr>
        <xdr:cNvPr id="2062" name="Picture 14">
          <a:extLst>
            <a:ext uri="{FF2B5EF4-FFF2-40B4-BE49-F238E27FC236}">
              <a16:creationId xmlns:a16="http://schemas.microsoft.com/office/drawing/2014/main" id="{00000000-0008-0000-0600-00000E08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6343650" y="15363826"/>
          <a:ext cx="5610225" cy="96411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142875</xdr:colOff>
      <xdr:row>67</xdr:row>
      <xdr:rowOff>133350</xdr:rowOff>
    </xdr:from>
    <xdr:to>
      <xdr:col>13</xdr:col>
      <xdr:colOff>590550</xdr:colOff>
      <xdr:row>76</xdr:row>
      <xdr:rowOff>57150</xdr:rowOff>
    </xdr:to>
    <xdr:pic>
      <xdr:nvPicPr>
        <xdr:cNvPr id="2063" name="Picture 15">
          <a:extLst>
            <a:ext uri="{FF2B5EF4-FFF2-40B4-BE49-F238E27FC236}">
              <a16:creationId xmlns:a16="http://schemas.microsoft.com/office/drawing/2014/main" id="{00000000-0008-0000-0600-00000F08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6362700" y="16392525"/>
          <a:ext cx="5095875" cy="13811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69</xdr:row>
      <xdr:rowOff>123825</xdr:rowOff>
    </xdr:from>
    <xdr:to>
      <xdr:col>8</xdr:col>
      <xdr:colOff>57150</xdr:colOff>
      <xdr:row>74</xdr:row>
      <xdr:rowOff>104775</xdr:rowOff>
    </xdr:to>
    <xdr:pic>
      <xdr:nvPicPr>
        <xdr:cNvPr id="2064" name="Picture 16">
          <a:extLst>
            <a:ext uri="{FF2B5EF4-FFF2-40B4-BE49-F238E27FC236}">
              <a16:creationId xmlns:a16="http://schemas.microsoft.com/office/drawing/2014/main" id="{00000000-0008-0000-0600-00001008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57150" y="16706850"/>
          <a:ext cx="6219825" cy="790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4</xdr:row>
      <xdr:rowOff>104775</xdr:rowOff>
    </xdr:from>
    <xdr:to>
      <xdr:col>8</xdr:col>
      <xdr:colOff>0</xdr:colOff>
      <xdr:row>20</xdr:row>
      <xdr:rowOff>47625</xdr:rowOff>
    </xdr:to>
    <xdr:pic>
      <xdr:nvPicPr>
        <xdr:cNvPr id="2066" name="Picture 18">
          <a:extLst>
            <a:ext uri="{FF2B5EF4-FFF2-40B4-BE49-F238E27FC236}">
              <a16:creationId xmlns:a16="http://schemas.microsoft.com/office/drawing/2014/main" id="{00000000-0008-0000-0600-00001208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57150" y="6038850"/>
          <a:ext cx="6162675" cy="253365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41</xdr:col>
      <xdr:colOff>200024</xdr:colOff>
      <xdr:row>7</xdr:row>
      <xdr:rowOff>114300</xdr:rowOff>
    </xdr:from>
    <xdr:to>
      <xdr:col>54</xdr:col>
      <xdr:colOff>406400</xdr:colOff>
      <xdr:row>44</xdr:row>
      <xdr:rowOff>190500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266700</xdr:colOff>
      <xdr:row>45</xdr:row>
      <xdr:rowOff>190500</xdr:rowOff>
    </xdr:from>
    <xdr:to>
      <xdr:col>54</xdr:col>
      <xdr:colOff>368300</xdr:colOff>
      <xdr:row>86</xdr:row>
      <xdr:rowOff>38100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55</xdr:col>
      <xdr:colOff>25400</xdr:colOff>
      <xdr:row>45</xdr:row>
      <xdr:rowOff>190500</xdr:rowOff>
    </xdr:from>
    <xdr:to>
      <xdr:col>69</xdr:col>
      <xdr:colOff>596900</xdr:colOff>
      <xdr:row>86</xdr:row>
      <xdr:rowOff>38100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55</xdr:col>
      <xdr:colOff>12700</xdr:colOff>
      <xdr:row>7</xdr:row>
      <xdr:rowOff>127000</xdr:rowOff>
    </xdr:from>
    <xdr:to>
      <xdr:col>69</xdr:col>
      <xdr:colOff>596900</xdr:colOff>
      <xdr:row>44</xdr:row>
      <xdr:rowOff>177800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34</xdr:col>
      <xdr:colOff>0</xdr:colOff>
      <xdr:row>1</xdr:row>
      <xdr:rowOff>0</xdr:rowOff>
    </xdr:from>
    <xdr:to>
      <xdr:col>43</xdr:col>
      <xdr:colOff>438151</xdr:colOff>
      <xdr:row>34</xdr:row>
      <xdr:rowOff>142876</xdr:rowOff>
    </xdr:to>
    <xdr:pic>
      <xdr:nvPicPr>
        <xdr:cNvPr id="1032" name="Picture 8">
          <a:extLst>
            <a:ext uri="{FF2B5EF4-FFF2-40B4-BE49-F238E27FC236}">
              <a16:creationId xmlns:a16="http://schemas.microsoft.com/office/drawing/2014/main" id="{00000000-0008-0000-0B00-000008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0565725" y="200025"/>
          <a:ext cx="5924550" cy="559117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219"/>
  <sheetViews>
    <sheetView showGridLines="0" tabSelected="1" zoomScaleNormal="100" workbookViewId="0"/>
  </sheetViews>
  <sheetFormatPr defaultRowHeight="12.75"/>
  <cols>
    <col min="1" max="1" width="10.42578125" style="92" customWidth="1"/>
    <col min="2" max="2" width="15.42578125" style="92" customWidth="1"/>
    <col min="3" max="3" width="13.7109375" style="92" customWidth="1"/>
    <col min="4" max="4" width="5.140625" style="92" customWidth="1"/>
    <col min="5" max="5" width="13.5703125" style="92" customWidth="1"/>
    <col min="6" max="6" width="5" style="92" customWidth="1"/>
    <col min="7" max="7" width="9.85546875" style="92" customWidth="1"/>
    <col min="8" max="8" width="8.5703125" style="92" customWidth="1"/>
    <col min="9" max="9" width="22.5703125" style="92" customWidth="1"/>
    <col min="10" max="10" width="23" style="92" customWidth="1"/>
    <col min="11" max="11" width="15.42578125" style="92" customWidth="1"/>
    <col min="12" max="12" width="10.42578125" style="92" customWidth="1"/>
    <col min="13" max="13" width="12.85546875" style="92" customWidth="1"/>
    <col min="14" max="14" width="15.85546875" style="92" customWidth="1"/>
    <col min="15" max="15" width="22.85546875" style="92" customWidth="1"/>
    <col min="16" max="16" width="21.85546875" style="92" customWidth="1"/>
    <col min="17" max="19" width="9.140625" style="92"/>
    <col min="20" max="20" width="26.28515625" style="92" hidden="1" customWidth="1"/>
    <col min="21" max="21" width="13.140625" style="92" hidden="1" customWidth="1"/>
    <col min="22" max="22" width="12.28515625" style="92" bestFit="1" customWidth="1"/>
    <col min="23" max="16384" width="9.140625" style="92"/>
  </cols>
  <sheetData>
    <row r="1" spans="1:22">
      <c r="G1" s="176" t="s">
        <v>0</v>
      </c>
    </row>
    <row r="2" spans="1:22" ht="12.75" customHeight="1">
      <c r="B2" s="184" t="s">
        <v>1</v>
      </c>
      <c r="C2" s="306" t="s">
        <v>2</v>
      </c>
      <c r="D2" s="90"/>
      <c r="G2" s="92" t="s">
        <v>3</v>
      </c>
      <c r="K2" s="177"/>
      <c r="L2" s="178" t="s">
        <v>4</v>
      </c>
      <c r="T2" s="90" t="s">
        <v>5</v>
      </c>
      <c r="U2" s="90" t="s">
        <v>6</v>
      </c>
      <c r="V2" s="90"/>
    </row>
    <row r="3" spans="1:22">
      <c r="B3" s="184"/>
      <c r="C3" s="312"/>
      <c r="D3" s="179"/>
      <c r="E3" s="180"/>
      <c r="G3" s="181"/>
      <c r="H3" s="181"/>
      <c r="I3" s="181"/>
      <c r="J3" s="181"/>
      <c r="K3" s="182"/>
      <c r="L3" s="183" t="s">
        <v>7</v>
      </c>
      <c r="N3" s="181"/>
      <c r="O3" s="181"/>
      <c r="P3" s="181"/>
      <c r="R3" s="91"/>
      <c r="T3" s="91" t="s">
        <v>8</v>
      </c>
      <c r="U3" s="91" t="s">
        <v>9</v>
      </c>
      <c r="V3" s="91"/>
    </row>
    <row r="4" spans="1:22">
      <c r="A4" s="208"/>
      <c r="B4" s="184" t="s">
        <v>10</v>
      </c>
      <c r="C4" s="95">
        <v>4560</v>
      </c>
      <c r="D4" s="90" t="s">
        <v>11</v>
      </c>
      <c r="E4" s="185"/>
      <c r="G4" s="91" t="s">
        <v>12</v>
      </c>
      <c r="H4" s="91"/>
      <c r="I4" s="181"/>
      <c r="J4" s="181"/>
      <c r="K4" s="186"/>
      <c r="L4" s="183" t="s">
        <v>13</v>
      </c>
      <c r="N4" s="187"/>
      <c r="O4" s="187"/>
      <c r="P4" s="187"/>
      <c r="Q4" s="188"/>
      <c r="R4" s="206"/>
      <c r="T4" s="91" t="s">
        <v>14</v>
      </c>
      <c r="U4" s="91" t="s">
        <v>15</v>
      </c>
      <c r="V4" s="91"/>
    </row>
    <row r="5" spans="1:22">
      <c r="B5" s="184" t="s">
        <v>16</v>
      </c>
      <c r="C5" s="86">
        <v>671.34</v>
      </c>
      <c r="D5" s="90" t="s">
        <v>11</v>
      </c>
      <c r="G5" s="92" t="s">
        <v>17</v>
      </c>
      <c r="I5" s="181"/>
      <c r="J5" s="181"/>
      <c r="K5" s="189"/>
      <c r="L5" s="183" t="s">
        <v>18</v>
      </c>
      <c r="M5" s="181"/>
      <c r="N5" s="321"/>
      <c r="O5" s="187"/>
      <c r="P5" s="187"/>
      <c r="Q5" s="188"/>
      <c r="R5" s="188"/>
      <c r="T5" s="307" t="s">
        <v>14</v>
      </c>
      <c r="U5" s="314" t="str">
        <f>C16</f>
        <v>Piping</v>
      </c>
    </row>
    <row r="6" spans="1:22">
      <c r="B6" s="184" t="s">
        <v>19</v>
      </c>
      <c r="C6" s="310">
        <f>C5-C8</f>
        <v>179.82000000000005</v>
      </c>
      <c r="D6" s="90" t="s">
        <v>11</v>
      </c>
      <c r="G6" s="91" t="s">
        <v>20</v>
      </c>
      <c r="I6" s="181"/>
      <c r="J6" s="181"/>
      <c r="K6" s="190"/>
      <c r="L6" s="191" t="s">
        <v>21</v>
      </c>
      <c r="M6" s="187"/>
      <c r="N6" s="321"/>
      <c r="O6" s="187"/>
      <c r="P6" s="187"/>
      <c r="Q6" s="188"/>
      <c r="R6" s="188"/>
    </row>
    <row r="7" spans="1:22">
      <c r="B7" s="184" t="s">
        <v>22</v>
      </c>
      <c r="C7" s="311">
        <f>C5</f>
        <v>671.34</v>
      </c>
      <c r="D7" s="90" t="s">
        <v>11</v>
      </c>
      <c r="E7" s="192">
        <f>C7*0.3048</f>
        <v>204.62443200000001</v>
      </c>
      <c r="F7" s="90" t="s">
        <v>23</v>
      </c>
      <c r="G7" s="92" t="s">
        <v>24</v>
      </c>
      <c r="I7" s="181"/>
      <c r="J7" s="181"/>
      <c r="K7" s="193"/>
      <c r="L7" s="194" t="s">
        <v>25</v>
      </c>
      <c r="M7" s="321"/>
      <c r="N7" s="321"/>
      <c r="O7" s="187"/>
      <c r="P7" s="187"/>
      <c r="Q7" s="188"/>
      <c r="R7" s="188"/>
    </row>
    <row r="8" spans="1:22">
      <c r="B8" s="184" t="s">
        <v>26</v>
      </c>
      <c r="C8" s="93">
        <v>491.52</v>
      </c>
      <c r="D8" s="90" t="s">
        <v>11</v>
      </c>
      <c r="E8" s="192">
        <f>C8*0.3048</f>
        <v>149.81529599999999</v>
      </c>
      <c r="F8" s="90" t="s">
        <v>23</v>
      </c>
      <c r="G8" s="91" t="s">
        <v>27</v>
      </c>
      <c r="I8" s="181"/>
      <c r="J8" s="181"/>
      <c r="K8" s="195"/>
      <c r="M8" s="195"/>
      <c r="N8" s="321"/>
      <c r="O8" s="187"/>
      <c r="P8" s="187"/>
      <c r="Q8" s="188"/>
      <c r="R8" s="188"/>
    </row>
    <row r="9" spans="1:22" ht="15.75">
      <c r="B9" s="184" t="s">
        <v>28</v>
      </c>
      <c r="C9" s="311">
        <f>C8+0.5</f>
        <v>492.02</v>
      </c>
      <c r="D9" s="90" t="s">
        <v>11</v>
      </c>
      <c r="E9" s="192">
        <f>C9*0.3048</f>
        <v>149.96769599999999</v>
      </c>
      <c r="F9" s="90" t="s">
        <v>23</v>
      </c>
      <c r="G9" s="196" t="s">
        <v>29</v>
      </c>
      <c r="H9" s="181"/>
      <c r="I9" s="181"/>
      <c r="J9" s="181"/>
      <c r="K9" s="197" t="s">
        <v>30</v>
      </c>
      <c r="L9" s="198" t="s">
        <v>31</v>
      </c>
      <c r="M9" s="195"/>
      <c r="N9" s="321"/>
      <c r="O9" s="187"/>
      <c r="P9" s="187"/>
      <c r="Q9" s="188"/>
      <c r="R9" s="188"/>
    </row>
    <row r="10" spans="1:22" ht="15.75">
      <c r="B10" s="184" t="s">
        <v>32</v>
      </c>
      <c r="C10" s="94">
        <v>95467</v>
      </c>
      <c r="D10" s="90" t="s">
        <v>33</v>
      </c>
      <c r="E10" s="199">
        <f>C10*1233.5</f>
        <v>117758544.5</v>
      </c>
      <c r="F10" s="90" t="s">
        <v>34</v>
      </c>
      <c r="G10" s="208" t="s">
        <v>35</v>
      </c>
      <c r="H10" s="91"/>
      <c r="I10" s="91"/>
      <c r="J10" s="181"/>
      <c r="K10" s="200" t="s">
        <v>36</v>
      </c>
      <c r="L10" s="201" t="s">
        <v>37</v>
      </c>
      <c r="M10" s="195"/>
      <c r="N10" s="321"/>
      <c r="O10" s="187"/>
      <c r="P10" s="187"/>
      <c r="Q10" s="188"/>
      <c r="R10" s="188"/>
    </row>
    <row r="11" spans="1:22" ht="15.75">
      <c r="B11" s="202" t="s">
        <v>38</v>
      </c>
      <c r="C11" s="203">
        <f>C7-C9</f>
        <v>179.32000000000005</v>
      </c>
      <c r="D11" s="90" t="s">
        <v>11</v>
      </c>
      <c r="E11" s="192">
        <f>C11*0.3048</f>
        <v>54.656736000000016</v>
      </c>
      <c r="F11" s="90" t="s">
        <v>23</v>
      </c>
      <c r="G11" s="184" t="s">
        <v>38</v>
      </c>
      <c r="H11" s="92" t="s">
        <v>39</v>
      </c>
      <c r="I11" s="181"/>
      <c r="J11" s="181"/>
      <c r="K11" s="200" t="s">
        <v>40</v>
      </c>
      <c r="L11" s="201" t="s">
        <v>41</v>
      </c>
      <c r="M11" s="195"/>
      <c r="N11" s="187"/>
      <c r="O11" s="206"/>
      <c r="P11" s="206"/>
      <c r="Q11" s="188"/>
      <c r="R11" s="188"/>
    </row>
    <row r="12" spans="1:22" ht="15.75">
      <c r="B12" s="202" t="s">
        <v>42</v>
      </c>
      <c r="C12" s="204">
        <f>C5-C9</f>
        <v>179.32000000000005</v>
      </c>
      <c r="D12" s="90" t="s">
        <v>11</v>
      </c>
      <c r="E12" s="192">
        <f>C12*0.3048</f>
        <v>54.656736000000016</v>
      </c>
      <c r="F12" s="90" t="s">
        <v>23</v>
      </c>
      <c r="G12" s="202" t="s">
        <v>42</v>
      </c>
      <c r="H12" s="92" t="s">
        <v>43</v>
      </c>
      <c r="I12" s="181"/>
      <c r="J12" s="181"/>
      <c r="K12" s="205" t="s">
        <v>44</v>
      </c>
      <c r="L12" s="206" t="s">
        <v>45</v>
      </c>
      <c r="M12" s="206"/>
      <c r="N12" s="206"/>
      <c r="O12" s="321"/>
      <c r="P12" s="321"/>
      <c r="Q12" s="188"/>
      <c r="R12" s="188"/>
    </row>
    <row r="13" spans="1:22">
      <c r="B13" s="184" t="s">
        <v>46</v>
      </c>
      <c r="C13" s="87">
        <v>30</v>
      </c>
      <c r="D13" s="90" t="s">
        <v>11</v>
      </c>
      <c r="E13" s="192">
        <f>C13*0.3048</f>
        <v>9.1440000000000001</v>
      </c>
      <c r="F13" s="90" t="s">
        <v>23</v>
      </c>
      <c r="G13" s="208" t="s">
        <v>47</v>
      </c>
      <c r="H13" s="91"/>
      <c r="I13" s="91"/>
      <c r="J13" s="91"/>
      <c r="K13" s="195"/>
      <c r="L13" s="206"/>
      <c r="M13" s="206"/>
      <c r="N13" s="206"/>
      <c r="O13" s="206"/>
      <c r="P13" s="206"/>
      <c r="Q13" s="188"/>
      <c r="R13" s="188"/>
    </row>
    <row r="14" spans="1:22" ht="13.5" thickBot="1">
      <c r="B14" s="184" t="s">
        <v>48</v>
      </c>
      <c r="C14" s="88">
        <v>3</v>
      </c>
      <c r="D14" s="90"/>
      <c r="E14" s="207">
        <f>C14</f>
        <v>3</v>
      </c>
      <c r="F14" s="90"/>
      <c r="G14" s="208" t="s">
        <v>49</v>
      </c>
      <c r="H14" s="208" t="s">
        <v>50</v>
      </c>
      <c r="I14" s="181"/>
      <c r="J14" s="181"/>
      <c r="K14" s="322"/>
      <c r="L14" s="206"/>
      <c r="M14" s="206"/>
      <c r="N14" s="206"/>
      <c r="O14" s="188"/>
      <c r="P14" s="188"/>
      <c r="Q14" s="188"/>
      <c r="R14" s="188"/>
    </row>
    <row r="15" spans="1:22">
      <c r="B15" s="184" t="s">
        <v>51</v>
      </c>
      <c r="C15" s="88">
        <v>3</v>
      </c>
      <c r="D15" s="90"/>
      <c r="E15" s="207">
        <f>C15</f>
        <v>3</v>
      </c>
      <c r="F15" s="90"/>
      <c r="G15" s="208" t="s">
        <v>52</v>
      </c>
      <c r="H15" s="208" t="s">
        <v>53</v>
      </c>
      <c r="I15" s="181"/>
      <c r="J15" s="181"/>
      <c r="K15" s="294" t="s">
        <v>54</v>
      </c>
      <c r="L15" s="295"/>
      <c r="M15" s="296" t="s">
        <v>55</v>
      </c>
      <c r="N15" s="297" t="s">
        <v>56</v>
      </c>
      <c r="O15" s="188"/>
      <c r="P15" s="188"/>
      <c r="Q15" s="188"/>
      <c r="R15" s="188"/>
    </row>
    <row r="16" spans="1:22" ht="15.75">
      <c r="B16" s="184" t="s">
        <v>57</v>
      </c>
      <c r="C16" s="313" t="s">
        <v>15</v>
      </c>
      <c r="D16" s="179"/>
      <c r="E16" s="209"/>
      <c r="F16" s="90"/>
      <c r="G16" s="208" t="s">
        <v>58</v>
      </c>
      <c r="H16" s="208"/>
      <c r="I16" s="181"/>
      <c r="J16" s="181"/>
      <c r="K16" s="298" t="s">
        <v>59</v>
      </c>
      <c r="L16" s="299" t="s">
        <v>60</v>
      </c>
      <c r="M16" s="308">
        <f>0.5*C12</f>
        <v>89.660000000000025</v>
      </c>
      <c r="N16" s="309">
        <f>5*C12</f>
        <v>896.60000000000025</v>
      </c>
      <c r="O16" s="188"/>
      <c r="P16" s="188"/>
      <c r="Q16" s="188"/>
      <c r="R16" s="188"/>
    </row>
    <row r="17" spans="2:20" ht="18" customHeight="1" thickBot="1">
      <c r="B17" s="210" t="s">
        <v>61</v>
      </c>
      <c r="C17" s="89"/>
      <c r="D17" s="290"/>
      <c r="E17" s="291"/>
      <c r="F17" s="292"/>
      <c r="G17" s="293" t="s">
        <v>62</v>
      </c>
      <c r="H17" s="208"/>
      <c r="I17" s="181"/>
      <c r="J17" s="181"/>
      <c r="K17" s="300" t="s">
        <v>36</v>
      </c>
      <c r="L17" s="301" t="s">
        <v>63</v>
      </c>
      <c r="M17" s="302"/>
      <c r="N17" s="303"/>
      <c r="O17" s="188"/>
      <c r="P17" s="188"/>
      <c r="Q17" s="188"/>
      <c r="R17" s="188"/>
    </row>
    <row r="18" spans="2:20" ht="18" customHeight="1">
      <c r="B18" s="211"/>
      <c r="C18" s="89"/>
      <c r="D18" s="290"/>
      <c r="E18" s="291"/>
      <c r="F18" s="292"/>
      <c r="G18" s="293"/>
      <c r="H18" s="208"/>
      <c r="I18" s="181"/>
      <c r="J18" s="181"/>
      <c r="K18" s="322"/>
      <c r="L18" s="206"/>
      <c r="M18" s="205"/>
      <c r="N18" s="323"/>
      <c r="O18" s="188"/>
      <c r="P18" s="188"/>
      <c r="Q18" s="188"/>
      <c r="R18" s="188"/>
    </row>
    <row r="19" spans="2:20" ht="13.5" thickBot="1">
      <c r="B19" s="176"/>
      <c r="H19" s="181"/>
      <c r="I19" s="181"/>
      <c r="J19" s="181"/>
      <c r="K19" s="188"/>
      <c r="L19" s="206"/>
      <c r="M19" s="206"/>
      <c r="N19" s="324"/>
      <c r="O19" s="206"/>
      <c r="P19" s="206"/>
      <c r="Q19" s="188"/>
      <c r="R19" s="188"/>
    </row>
    <row r="20" spans="2:20" ht="15" customHeight="1" thickBot="1">
      <c r="B20" s="350" t="s">
        <v>64</v>
      </c>
      <c r="C20" s="351"/>
      <c r="D20" s="351"/>
      <c r="E20" s="351"/>
      <c r="F20" s="351"/>
      <c r="G20" s="351"/>
      <c r="H20" s="351"/>
      <c r="I20" s="352"/>
      <c r="J20" s="181"/>
      <c r="K20" s="332" t="s">
        <v>65</v>
      </c>
      <c r="L20" s="333"/>
      <c r="M20" s="333"/>
      <c r="N20" s="333"/>
      <c r="O20" s="334"/>
      <c r="P20" s="325"/>
      <c r="Q20" s="188"/>
      <c r="R20" s="188"/>
      <c r="S20" s="91"/>
      <c r="T20" s="91"/>
    </row>
    <row r="21" spans="2:20" ht="39" customHeight="1">
      <c r="B21" s="212" t="s">
        <v>66</v>
      </c>
      <c r="C21" s="213"/>
      <c r="D21" s="213"/>
      <c r="E21" s="353" t="s">
        <v>67</v>
      </c>
      <c r="F21" s="353"/>
      <c r="G21" s="353"/>
      <c r="H21" s="353"/>
      <c r="I21" s="354"/>
      <c r="J21" s="181"/>
      <c r="K21" s="214" t="s">
        <v>68</v>
      </c>
      <c r="L21" s="315" t="s">
        <v>69</v>
      </c>
      <c r="M21" s="339" t="s">
        <v>70</v>
      </c>
      <c r="N21" s="340"/>
      <c r="O21" s="215" t="s">
        <v>71</v>
      </c>
      <c r="P21" s="188"/>
      <c r="Q21" s="188"/>
      <c r="T21" s="91"/>
    </row>
    <row r="22" spans="2:20" ht="15.75">
      <c r="B22" s="216" t="s">
        <v>72</v>
      </c>
      <c r="C22" s="217">
        <f>E22/1233.5</f>
        <v>641.79756651054367</v>
      </c>
      <c r="D22" s="218" t="s">
        <v>33</v>
      </c>
      <c r="E22" s="219">
        <f>IF(T5="Earthfill", 0.0261*(E10*E11)^0.769,IF(T5="Earthfill w/ clay core or rockfill",0.00348*(E10*E11)^0.852,"Error"))</f>
        <v>791657.2982907556</v>
      </c>
      <c r="F22" s="220" t="s">
        <v>34</v>
      </c>
      <c r="G22" s="221" t="s">
        <v>73</v>
      </c>
      <c r="H22" s="222">
        <f>AVERAGE(C24,H23)</f>
        <v>302.81024809396951</v>
      </c>
      <c r="I22" s="223" t="s">
        <v>74</v>
      </c>
      <c r="J22" s="326"/>
      <c r="K22" s="224" t="s">
        <v>75</v>
      </c>
      <c r="L22" s="225">
        <f>C24</f>
        <v>213.15024809396945</v>
      </c>
      <c r="M22" s="341">
        <f>C23</f>
        <v>2.5114271158694512</v>
      </c>
      <c r="N22" s="342"/>
      <c r="O22" s="226" t="str">
        <f>IF($H$22&gt;=0.5*$C$6,IF($H$22&lt;=5*$C$6,IF(M22&gt;=0.1,IF(M22&lt;=4,"TRUE","FALSE"),"FALSE"),"FALSE"),"FALSE")</f>
        <v>TRUE</v>
      </c>
    </row>
    <row r="23" spans="2:20" ht="15.75">
      <c r="B23" s="227" t="s">
        <v>36</v>
      </c>
      <c r="C23" s="228">
        <f>E23</f>
        <v>2.5114271158694512</v>
      </c>
      <c r="D23" s="218" t="s">
        <v>76</v>
      </c>
      <c r="E23" s="229">
        <f>0.0179*(E22)^0.364</f>
        <v>2.5114271158694512</v>
      </c>
      <c r="F23" s="218" t="s">
        <v>76</v>
      </c>
      <c r="G23" s="230"/>
      <c r="H23" s="222">
        <f>C24+(C12)</f>
        <v>392.47024809396953</v>
      </c>
      <c r="I23" s="231" t="s">
        <v>77</v>
      </c>
      <c r="J23" s="326"/>
      <c r="K23" s="232" t="s">
        <v>78</v>
      </c>
      <c r="L23" s="233">
        <f>C30</f>
        <v>322.61788587138773</v>
      </c>
      <c r="M23" s="343">
        <f>C31</f>
        <v>1.3139546630012227</v>
      </c>
      <c r="N23" s="344"/>
      <c r="O23" s="226" t="str">
        <f>IF($C$29&gt;=0.5*$C$6,IF($C$29&lt;=5*$C$6,IF(M23&gt;=0.1,IF(M23&lt;=4,"TRUE","FALSE"),"FALSE"),"FALSE"),"FALSE")</f>
        <v>TRUE</v>
      </c>
    </row>
    <row r="24" spans="2:20" ht="16.5" thickBot="1">
      <c r="B24" s="234" t="s">
        <v>40</v>
      </c>
      <c r="C24" s="235">
        <f>E24/0.3048</f>
        <v>213.15024809396945</v>
      </c>
      <c r="D24" s="236" t="s">
        <v>11</v>
      </c>
      <c r="E24" s="237">
        <f>(E22-(E12^2*((E13*0.5)+((E12*0.5*(E14+E15))/3))))/((E12*(E13+(0.5*E12*(E14+E15)))))</f>
        <v>64.968195619041893</v>
      </c>
      <c r="F24" s="236" t="s">
        <v>23</v>
      </c>
      <c r="G24" s="238"/>
      <c r="H24" s="239" t="b">
        <f>OR(H23&lt;C4)</f>
        <v>1</v>
      </c>
      <c r="I24" s="240" t="s">
        <v>79</v>
      </c>
      <c r="J24" s="241"/>
      <c r="K24" s="242" t="s">
        <v>80</v>
      </c>
      <c r="L24" s="243">
        <f>C37</f>
        <v>272.19114251366079</v>
      </c>
      <c r="M24" s="345">
        <f>C38</f>
        <v>1.11302972116948</v>
      </c>
      <c r="N24" s="346"/>
      <c r="O24" s="226" t="str">
        <f>IF($C$36&gt;=0.5*$C$6,IF($C$36&lt;=5*$C$6,IF(M24&gt;=0.1,IF(M24&lt;=4,"TRUE","FALSE"),"FALSE"),"FALSE"),"FALSE")</f>
        <v>TRUE</v>
      </c>
    </row>
    <row r="25" spans="2:20" ht="13.5" thickBot="1">
      <c r="G25" s="181"/>
      <c r="H25" s="181"/>
      <c r="I25" s="181"/>
      <c r="J25" s="181"/>
      <c r="K25" s="335" t="s">
        <v>81</v>
      </c>
      <c r="L25" s="337">
        <f>C44</f>
        <v>448.98000000000013</v>
      </c>
      <c r="M25" s="244">
        <f>C45</f>
        <v>1.3431347200000003</v>
      </c>
      <c r="N25" s="245" t="s">
        <v>82</v>
      </c>
      <c r="O25" s="226" t="str">
        <f>IF($C$43&gt;=0.5*$C$6,IF($C$43&lt;=5*$C$6,IF(M25&gt;=0.1,IF(M25&lt;=4,"TRUE","FALSE"),"FALSE"),"FALSE"),"FALSE")</f>
        <v>TRUE</v>
      </c>
      <c r="P25" s="188"/>
      <c r="Q25" s="188"/>
    </row>
    <row r="26" spans="2:20" ht="15.75" thickBot="1">
      <c r="B26" s="350" t="s">
        <v>83</v>
      </c>
      <c r="C26" s="351"/>
      <c r="D26" s="351"/>
      <c r="E26" s="351"/>
      <c r="F26" s="351"/>
      <c r="G26" s="351"/>
      <c r="H26" s="351"/>
      <c r="I26" s="352"/>
      <c r="J26" s="181"/>
      <c r="K26" s="336"/>
      <c r="L26" s="338"/>
      <c r="M26" s="246">
        <f>C46</f>
        <v>0.82487200000000027</v>
      </c>
      <c r="N26" s="247" t="s">
        <v>84</v>
      </c>
      <c r="O26" s="248" t="str">
        <f>IF($C$43&gt;=0.5*$C$6,IF($C$43&lt;=5*$C$6,IF(M26&gt;=0.1,IF(M26&lt;=4,"TRUE","FALSE"),"FALSE"),"FALSE"),"FALSE")</f>
        <v>TRUE</v>
      </c>
      <c r="P26" s="188"/>
      <c r="Q26" s="188"/>
    </row>
    <row r="27" spans="2:20" ht="15.75">
      <c r="B27" s="216" t="s">
        <v>85</v>
      </c>
      <c r="C27" s="249">
        <f>IF(U5="Overtopping", 1.4, IF(U5="Piping", 1,"Error"))</f>
        <v>1</v>
      </c>
      <c r="D27" s="213" t="s">
        <v>86</v>
      </c>
      <c r="E27" s="213"/>
      <c r="F27" s="213"/>
      <c r="G27" s="213"/>
      <c r="H27" s="213"/>
      <c r="I27" s="250"/>
      <c r="J27" s="181"/>
      <c r="K27" s="188"/>
      <c r="L27" s="188"/>
      <c r="M27" s="251"/>
      <c r="N27" s="251"/>
      <c r="O27" s="251"/>
      <c r="P27" s="251"/>
      <c r="Q27" s="251"/>
      <c r="R27" s="251"/>
    </row>
    <row r="28" spans="2:20">
      <c r="B28" s="252" t="s">
        <v>87</v>
      </c>
      <c r="C28" s="249">
        <f>IF(U5="Overtopping", 1.4, IF(U5="Piping", 0.9,"Error"))</f>
        <v>0.9</v>
      </c>
      <c r="D28" s="230" t="s">
        <v>88</v>
      </c>
      <c r="E28" s="230"/>
      <c r="F28" s="213"/>
      <c r="G28" s="230"/>
      <c r="H28" s="230"/>
      <c r="I28" s="253"/>
      <c r="J28" s="181"/>
      <c r="K28" s="187"/>
      <c r="L28" s="188"/>
      <c r="M28" s="251"/>
      <c r="N28" s="251"/>
      <c r="O28" s="251"/>
      <c r="P28" s="251"/>
      <c r="Q28" s="251"/>
      <c r="R28" s="251"/>
    </row>
    <row r="29" spans="2:20" ht="15.75">
      <c r="B29" s="216" t="s">
        <v>59</v>
      </c>
      <c r="C29" s="217">
        <f>E29/0.3048</f>
        <v>484.00588587138782</v>
      </c>
      <c r="D29" s="218" t="s">
        <v>11</v>
      </c>
      <c r="E29" s="219">
        <f>0.1803*(C27)*(E10^0.32)*(E12^0.19)</f>
        <v>147.52499401359901</v>
      </c>
      <c r="F29" s="220" t="s">
        <v>23</v>
      </c>
      <c r="G29" s="230"/>
      <c r="H29" s="222">
        <f>C29+(C28*C12)</f>
        <v>645.39388587138785</v>
      </c>
      <c r="I29" s="231" t="s">
        <v>77</v>
      </c>
      <c r="J29" s="181"/>
      <c r="K29" s="187"/>
      <c r="L29" s="187"/>
      <c r="M29" s="327"/>
      <c r="N29" s="327"/>
      <c r="O29" s="327"/>
      <c r="P29" s="327"/>
      <c r="Q29" s="327"/>
      <c r="R29" s="327"/>
    </row>
    <row r="30" spans="2:20" ht="15.75">
      <c r="B30" s="254" t="s">
        <v>40</v>
      </c>
      <c r="C30" s="255">
        <f>E30/0.3048</f>
        <v>322.61788587138773</v>
      </c>
      <c r="D30" s="218" t="s">
        <v>11</v>
      </c>
      <c r="E30" s="256">
        <f>E29-(E12*C28)</f>
        <v>98.333931613598992</v>
      </c>
      <c r="F30" s="220" t="s">
        <v>23</v>
      </c>
      <c r="G30" s="230"/>
      <c r="H30" s="257" t="b">
        <f>OR(H29&lt;C4)</f>
        <v>1</v>
      </c>
      <c r="I30" s="258" t="s">
        <v>79</v>
      </c>
      <c r="J30" s="181"/>
      <c r="K30" s="187"/>
      <c r="N30" s="327"/>
      <c r="O30" s="327"/>
      <c r="P30" s="327"/>
      <c r="Q30" s="327"/>
      <c r="R30" s="327"/>
    </row>
    <row r="31" spans="2:20" ht="16.5" thickBot="1">
      <c r="B31" s="234" t="s">
        <v>36</v>
      </c>
      <c r="C31" s="259">
        <f>E31</f>
        <v>1.3139546630012227</v>
      </c>
      <c r="D31" s="236" t="s">
        <v>76</v>
      </c>
      <c r="E31" s="260">
        <f>0.00254*(E10^0.53)*(E12^(-0.9))</f>
        <v>1.3139546630012227</v>
      </c>
      <c r="F31" s="236" t="s">
        <v>76</v>
      </c>
      <c r="G31" s="261"/>
      <c r="H31" s="261"/>
      <c r="I31" s="262"/>
      <c r="J31" s="181"/>
      <c r="K31" s="187"/>
      <c r="N31" s="327"/>
      <c r="O31" s="327"/>
      <c r="P31" s="327"/>
      <c r="Q31" s="327"/>
      <c r="R31" s="327"/>
    </row>
    <row r="32" spans="2:20" ht="13.5" thickBot="1">
      <c r="G32" s="181"/>
      <c r="K32" s="187"/>
      <c r="N32" s="327"/>
      <c r="O32" s="327"/>
      <c r="P32" s="327"/>
      <c r="Q32" s="327"/>
      <c r="R32" s="327"/>
    </row>
    <row r="33" spans="2:18" ht="15">
      <c r="B33" s="350" t="s">
        <v>89</v>
      </c>
      <c r="C33" s="351"/>
      <c r="D33" s="351"/>
      <c r="E33" s="351"/>
      <c r="F33" s="351"/>
      <c r="G33" s="351"/>
      <c r="H33" s="351"/>
      <c r="I33" s="352"/>
      <c r="K33" s="187"/>
      <c r="L33" s="187"/>
      <c r="M33" s="327"/>
      <c r="N33" s="327"/>
      <c r="O33" s="327"/>
      <c r="P33" s="327"/>
      <c r="Q33" s="327"/>
      <c r="R33" s="327"/>
    </row>
    <row r="34" spans="2:18" ht="15.75">
      <c r="B34" s="216" t="s">
        <v>85</v>
      </c>
      <c r="C34" s="249">
        <f>IF(U5="Overtopping", 1.3, IF(U5="Piping", 1,"Error"))</f>
        <v>1</v>
      </c>
      <c r="D34" s="213" t="s">
        <v>90</v>
      </c>
      <c r="E34" s="213"/>
      <c r="F34" s="213"/>
      <c r="G34" s="213"/>
      <c r="H34" s="213"/>
      <c r="I34" s="250"/>
      <c r="K34" s="187"/>
      <c r="L34" s="187"/>
      <c r="M34" s="327"/>
      <c r="N34" s="327"/>
      <c r="O34" s="327"/>
      <c r="P34" s="327"/>
      <c r="Q34" s="327"/>
      <c r="R34" s="327"/>
    </row>
    <row r="35" spans="2:18">
      <c r="B35" s="252" t="s">
        <v>87</v>
      </c>
      <c r="C35" s="249">
        <f>IF(U5="Overtopping", 1, IF(U5="Piping", 0.7,"Error"))</f>
        <v>0.7</v>
      </c>
      <c r="D35" s="230" t="s">
        <v>91</v>
      </c>
      <c r="E35" s="213"/>
      <c r="F35" s="213"/>
      <c r="G35" s="230"/>
      <c r="H35" s="230"/>
      <c r="I35" s="250"/>
      <c r="K35" s="187"/>
      <c r="M35" s="327"/>
      <c r="N35" s="327"/>
      <c r="O35" s="327"/>
      <c r="P35" s="327"/>
      <c r="Q35" s="327"/>
      <c r="R35" s="327"/>
    </row>
    <row r="36" spans="2:18" ht="15.75">
      <c r="B36" s="216" t="s">
        <v>59</v>
      </c>
      <c r="C36" s="217">
        <f>E36/0.3048</f>
        <v>397.71514251366085</v>
      </c>
      <c r="D36" s="218" t="s">
        <v>11</v>
      </c>
      <c r="E36" s="219">
        <f>0.27*(C34)*(E10^0.32)*(E12^0.04)</f>
        <v>121.22357543816383</v>
      </c>
      <c r="F36" s="220" t="s">
        <v>23</v>
      </c>
      <c r="G36" s="230"/>
      <c r="H36" s="222">
        <f>C36+(C35*C12)</f>
        <v>523.23914251366091</v>
      </c>
      <c r="I36" s="231" t="s">
        <v>77</v>
      </c>
      <c r="M36" s="327"/>
      <c r="N36" s="327"/>
      <c r="O36" s="327"/>
      <c r="P36" s="327"/>
      <c r="Q36" s="327"/>
      <c r="R36" s="327"/>
    </row>
    <row r="37" spans="2:18" ht="15.75">
      <c r="B37" s="254" t="s">
        <v>40</v>
      </c>
      <c r="C37" s="255">
        <f>E37/0.3048</f>
        <v>272.19114251366079</v>
      </c>
      <c r="D37" s="218" t="s">
        <v>11</v>
      </c>
      <c r="E37" s="256">
        <f>E36-(E12*C35)</f>
        <v>82.963860238163818</v>
      </c>
      <c r="F37" s="220" t="s">
        <v>23</v>
      </c>
      <c r="G37" s="230"/>
      <c r="H37" s="257" t="b">
        <f>OR(H36&lt;C4)</f>
        <v>1</v>
      </c>
      <c r="I37" s="258" t="s">
        <v>79</v>
      </c>
      <c r="M37" s="327"/>
      <c r="N37" s="327"/>
      <c r="O37" s="327"/>
      <c r="P37" s="327"/>
      <c r="Q37" s="327"/>
      <c r="R37" s="327"/>
    </row>
    <row r="38" spans="2:18" ht="16.5" thickBot="1">
      <c r="B38" s="234" t="s">
        <v>36</v>
      </c>
      <c r="C38" s="259">
        <f>E38</f>
        <v>1.11302972116948</v>
      </c>
      <c r="D38" s="236" t="s">
        <v>76</v>
      </c>
      <c r="E38" s="260">
        <f>(63.2*(SQRT((E10)/(9.80665*(E12^2)))))/3600</f>
        <v>1.11302972116948</v>
      </c>
      <c r="F38" s="236" t="s">
        <v>76</v>
      </c>
      <c r="G38" s="261"/>
      <c r="H38" s="261"/>
      <c r="I38" s="263"/>
      <c r="L38" s="181"/>
      <c r="M38" s="181"/>
      <c r="N38" s="181"/>
      <c r="O38" s="181"/>
      <c r="P38" s="181"/>
    </row>
    <row r="39" spans="2:18" ht="13.5" thickBot="1">
      <c r="G39" s="181"/>
      <c r="H39" s="181"/>
      <c r="I39" s="181"/>
      <c r="J39" s="181"/>
      <c r="K39" s="181"/>
      <c r="L39" s="181"/>
      <c r="M39" s="181"/>
      <c r="N39" s="181"/>
      <c r="O39" s="181"/>
      <c r="P39" s="181"/>
    </row>
    <row r="40" spans="2:18" ht="15">
      <c r="B40" s="350" t="s">
        <v>92</v>
      </c>
      <c r="C40" s="351"/>
      <c r="D40" s="351"/>
      <c r="E40" s="351"/>
      <c r="F40" s="351"/>
      <c r="G40" s="351"/>
      <c r="H40" s="351"/>
      <c r="I40" s="352"/>
      <c r="K40" s="181"/>
      <c r="L40" s="181"/>
      <c r="M40" s="181"/>
      <c r="N40" s="181"/>
      <c r="O40" s="181"/>
      <c r="P40" s="181"/>
    </row>
    <row r="41" spans="2:18" ht="17.25" customHeight="1">
      <c r="B41" s="216" t="s">
        <v>93</v>
      </c>
      <c r="C41" s="264">
        <f>IF(C10&lt;1000, $G$49,IF(C10&lt;5000,$G$50,IF(C10&lt;10000,$G$51,$G$52)))</f>
        <v>180</v>
      </c>
      <c r="D41" s="265" t="s">
        <v>11</v>
      </c>
      <c r="E41" s="266">
        <f>C41*0.3048</f>
        <v>54.864000000000004</v>
      </c>
      <c r="F41" s="267" t="s">
        <v>94</v>
      </c>
      <c r="G41" s="213"/>
      <c r="H41" s="230"/>
      <c r="I41" s="250"/>
      <c r="K41" s="181"/>
      <c r="M41" s="181"/>
      <c r="N41" s="181"/>
      <c r="O41" s="181"/>
      <c r="P41" s="91"/>
    </row>
    <row r="42" spans="2:18" ht="15.75" customHeight="1">
      <c r="B42" s="252" t="s">
        <v>87</v>
      </c>
      <c r="C42" s="85">
        <v>1</v>
      </c>
      <c r="D42" s="213"/>
      <c r="E42" s="266">
        <f>C42</f>
        <v>1</v>
      </c>
      <c r="F42" s="230" t="s">
        <v>95</v>
      </c>
      <c r="G42" s="213"/>
      <c r="H42" s="230"/>
      <c r="I42" s="250"/>
      <c r="M42" s="181"/>
      <c r="N42" s="181"/>
      <c r="O42" s="181"/>
      <c r="P42" s="91"/>
    </row>
    <row r="43" spans="2:18" ht="15.75">
      <c r="B43" s="252" t="s">
        <v>59</v>
      </c>
      <c r="C43" s="268">
        <f>(2.5*C11)+C41</f>
        <v>628.30000000000018</v>
      </c>
      <c r="D43" s="218" t="s">
        <v>11</v>
      </c>
      <c r="E43" s="269">
        <f>(2.5*E11)+E41</f>
        <v>191.50584000000003</v>
      </c>
      <c r="F43" s="220" t="s">
        <v>23</v>
      </c>
      <c r="G43" s="213"/>
      <c r="H43" s="222">
        <f>C43+(C42*C12)</f>
        <v>807.62000000000023</v>
      </c>
      <c r="I43" s="231" t="s">
        <v>77</v>
      </c>
      <c r="M43" s="181"/>
      <c r="N43" s="181"/>
      <c r="O43" s="181"/>
      <c r="P43" s="91"/>
    </row>
    <row r="44" spans="2:18" ht="15.75">
      <c r="B44" s="254" t="s">
        <v>96</v>
      </c>
      <c r="C44" s="270">
        <f>C43-(C12*C42)</f>
        <v>448.98000000000013</v>
      </c>
      <c r="D44" s="218" t="s">
        <v>11</v>
      </c>
      <c r="E44" s="271">
        <f>E43-(E12*E42)</f>
        <v>136.84910400000001</v>
      </c>
      <c r="F44" s="220" t="s">
        <v>23</v>
      </c>
      <c r="G44" s="230"/>
      <c r="H44" s="257" t="b">
        <f>OR(H43&lt;C4)</f>
        <v>1</v>
      </c>
      <c r="I44" s="258" t="s">
        <v>79</v>
      </c>
      <c r="M44" s="181"/>
      <c r="N44" s="181"/>
      <c r="O44" s="181"/>
      <c r="P44" s="91"/>
    </row>
    <row r="45" spans="2:18" ht="15.75">
      <c r="B45" s="254" t="s">
        <v>97</v>
      </c>
      <c r="C45" s="272">
        <f>E45</f>
        <v>1.3431347200000003</v>
      </c>
      <c r="D45" s="218" t="s">
        <v>76</v>
      </c>
      <c r="E45" s="273">
        <f>(0.02*E11)+0.25</f>
        <v>1.3431347200000003</v>
      </c>
      <c r="F45" s="218" t="s">
        <v>76</v>
      </c>
      <c r="G45" s="274"/>
      <c r="H45" s="275" t="s">
        <v>98</v>
      </c>
      <c r="I45" s="349" t="s">
        <v>99</v>
      </c>
      <c r="M45" s="181"/>
      <c r="N45" s="181"/>
      <c r="O45" s="181"/>
      <c r="P45" s="91"/>
    </row>
    <row r="46" spans="2:18" ht="15.75">
      <c r="B46" s="227" t="s">
        <v>100</v>
      </c>
      <c r="C46" s="272">
        <f>0.0046*C11</f>
        <v>0.82487200000000027</v>
      </c>
      <c r="D46" s="218" t="s">
        <v>76</v>
      </c>
      <c r="E46" s="273">
        <f>0.015*E11</f>
        <v>0.8198510400000002</v>
      </c>
      <c r="F46" s="218" t="s">
        <v>76</v>
      </c>
      <c r="G46" s="274"/>
      <c r="H46" s="275" t="s">
        <v>101</v>
      </c>
      <c r="I46" s="349"/>
      <c r="M46" s="181"/>
      <c r="N46" s="181"/>
      <c r="O46" s="181"/>
      <c r="P46" s="91"/>
    </row>
    <row r="47" spans="2:18" ht="13.5" thickBot="1">
      <c r="B47" s="276"/>
      <c r="C47" s="213"/>
      <c r="D47" s="213"/>
      <c r="E47" s="213"/>
      <c r="F47" s="213"/>
      <c r="G47" s="230"/>
      <c r="H47" s="267"/>
      <c r="I47" s="253"/>
      <c r="M47" s="181"/>
      <c r="N47" s="181"/>
      <c r="O47" s="181"/>
      <c r="P47" s="181"/>
    </row>
    <row r="48" spans="2:18" ht="16.5" thickBot="1">
      <c r="B48" s="355" t="s">
        <v>102</v>
      </c>
      <c r="C48" s="356"/>
      <c r="D48" s="213"/>
      <c r="E48" s="347" t="s">
        <v>103</v>
      </c>
      <c r="F48" s="348"/>
      <c r="G48" s="277" t="s">
        <v>104</v>
      </c>
      <c r="H48" s="277" t="s">
        <v>105</v>
      </c>
      <c r="I48" s="253"/>
      <c r="K48" s="91"/>
      <c r="L48" s="91"/>
    </row>
    <row r="49" spans="2:16" ht="13.5" thickBot="1">
      <c r="B49" s="355"/>
      <c r="C49" s="356"/>
      <c r="D49" s="213"/>
      <c r="E49" s="347" t="s">
        <v>106</v>
      </c>
      <c r="F49" s="348"/>
      <c r="G49" s="278">
        <v>20</v>
      </c>
      <c r="H49" s="279">
        <f>G49*0.3048</f>
        <v>6.0960000000000001</v>
      </c>
      <c r="I49" s="253"/>
      <c r="L49" s="252"/>
      <c r="M49" s="91"/>
    </row>
    <row r="50" spans="2:16" ht="13.5" thickBot="1">
      <c r="B50" s="355"/>
      <c r="C50" s="356"/>
      <c r="D50" s="213"/>
      <c r="E50" s="347" t="s">
        <v>107</v>
      </c>
      <c r="F50" s="348"/>
      <c r="G50" s="278">
        <v>60</v>
      </c>
      <c r="H50" s="279">
        <f>G50*0.3048</f>
        <v>18.288</v>
      </c>
      <c r="I50" s="253"/>
      <c r="M50" s="181"/>
      <c r="N50" s="181"/>
      <c r="O50" s="181"/>
      <c r="P50" s="181"/>
    </row>
    <row r="51" spans="2:16" ht="13.5" thickBot="1">
      <c r="B51" s="355"/>
      <c r="C51" s="356"/>
      <c r="D51" s="213"/>
      <c r="E51" s="347" t="s">
        <v>108</v>
      </c>
      <c r="F51" s="348"/>
      <c r="G51" s="278">
        <v>140</v>
      </c>
      <c r="H51" s="279">
        <f>G51*0.3048</f>
        <v>42.672000000000004</v>
      </c>
      <c r="I51" s="253"/>
      <c r="M51" s="181"/>
      <c r="N51" s="181"/>
      <c r="O51" s="181"/>
      <c r="P51" s="181"/>
    </row>
    <row r="52" spans="2:16" ht="13.5" thickBot="1">
      <c r="B52" s="276"/>
      <c r="C52" s="213"/>
      <c r="D52" s="213"/>
      <c r="E52" s="347" t="s">
        <v>109</v>
      </c>
      <c r="F52" s="348"/>
      <c r="G52" s="278">
        <v>180</v>
      </c>
      <c r="H52" s="279">
        <f>G52*0.3048</f>
        <v>54.864000000000004</v>
      </c>
      <c r="I52" s="253"/>
      <c r="J52" s="181"/>
      <c r="L52" s="181"/>
      <c r="M52" s="181"/>
      <c r="N52" s="181"/>
      <c r="O52" s="181"/>
      <c r="P52" s="181"/>
    </row>
    <row r="53" spans="2:16" ht="13.5" thickBot="1">
      <c r="B53" s="280"/>
      <c r="C53" s="238"/>
      <c r="D53" s="238"/>
      <c r="E53" s="238"/>
      <c r="F53" s="238"/>
      <c r="G53" s="261"/>
      <c r="H53" s="261"/>
      <c r="I53" s="262"/>
      <c r="J53" s="230"/>
      <c r="K53" s="91"/>
      <c r="L53" s="181"/>
      <c r="M53" s="181"/>
      <c r="N53" s="181"/>
      <c r="O53" s="181"/>
      <c r="P53" s="181"/>
    </row>
    <row r="54" spans="2:16">
      <c r="G54" s="230"/>
      <c r="H54" s="230"/>
      <c r="I54" s="230"/>
      <c r="J54" s="230"/>
      <c r="K54" s="181"/>
      <c r="L54" s="181"/>
      <c r="M54" s="181"/>
      <c r="N54" s="181"/>
      <c r="O54" s="181"/>
      <c r="P54" s="181"/>
    </row>
    <row r="55" spans="2:16">
      <c r="B55" s="218"/>
      <c r="C55" s="213"/>
      <c r="D55" s="281"/>
      <c r="G55" s="230"/>
      <c r="H55" s="230"/>
      <c r="I55" s="282"/>
      <c r="J55" s="282"/>
      <c r="K55" s="181"/>
      <c r="L55" s="181"/>
      <c r="M55" s="181"/>
      <c r="N55" s="181"/>
      <c r="O55" s="181"/>
      <c r="P55" s="181"/>
    </row>
    <row r="56" spans="2:16">
      <c r="G56" s="230"/>
      <c r="H56" s="283"/>
      <c r="I56" s="284"/>
      <c r="J56" s="284"/>
      <c r="K56" s="181"/>
      <c r="L56" s="181"/>
      <c r="M56" s="181"/>
      <c r="N56" s="181"/>
      <c r="O56" s="181"/>
      <c r="P56" s="181"/>
    </row>
    <row r="57" spans="2:16">
      <c r="G57" s="285"/>
      <c r="H57" s="286"/>
      <c r="I57" s="284"/>
      <c r="J57" s="284"/>
      <c r="K57" s="181"/>
      <c r="L57" s="181"/>
      <c r="M57" s="181"/>
      <c r="N57" s="181"/>
      <c r="O57" s="181"/>
      <c r="P57" s="181"/>
    </row>
    <row r="58" spans="2:16">
      <c r="G58" s="285"/>
      <c r="H58" s="286"/>
      <c r="I58" s="284"/>
      <c r="J58" s="284"/>
      <c r="K58" s="181"/>
      <c r="L58" s="181"/>
      <c r="M58" s="181"/>
      <c r="N58" s="181"/>
      <c r="O58" s="181"/>
      <c r="P58" s="181"/>
    </row>
    <row r="59" spans="2:16">
      <c r="G59" s="285"/>
      <c r="H59" s="286"/>
      <c r="I59" s="284"/>
      <c r="J59" s="284"/>
      <c r="K59" s="213"/>
      <c r="L59" s="181"/>
      <c r="M59" s="181"/>
      <c r="N59" s="181"/>
      <c r="O59" s="181"/>
      <c r="P59" s="181"/>
    </row>
    <row r="60" spans="2:16">
      <c r="G60" s="285"/>
      <c r="H60" s="286"/>
      <c r="I60" s="230"/>
      <c r="J60" s="230"/>
      <c r="K60" s="213"/>
      <c r="L60" s="181"/>
      <c r="M60" s="181"/>
      <c r="N60" s="181"/>
      <c r="O60" s="181"/>
      <c r="P60" s="181"/>
    </row>
    <row r="61" spans="2:16">
      <c r="G61" s="230"/>
      <c r="H61" s="230"/>
      <c r="I61" s="289"/>
      <c r="J61" s="289"/>
      <c r="K61" s="213"/>
      <c r="L61" s="181"/>
      <c r="M61" s="181"/>
      <c r="N61" s="181"/>
      <c r="O61" s="181"/>
      <c r="P61" s="181"/>
    </row>
    <row r="62" spans="2:16">
      <c r="B62" s="287"/>
      <c r="C62" s="91"/>
      <c r="D62" s="288"/>
      <c r="G62" s="230"/>
      <c r="H62" s="289"/>
      <c r="I62" s="328"/>
      <c r="J62" s="328"/>
      <c r="K62" s="213"/>
      <c r="L62" s="181"/>
      <c r="M62" s="181"/>
      <c r="N62" s="181"/>
      <c r="O62" s="181"/>
      <c r="P62" s="181"/>
    </row>
    <row r="63" spans="2:16">
      <c r="G63" s="230"/>
      <c r="H63" s="230"/>
      <c r="I63" s="329"/>
      <c r="J63" s="329"/>
      <c r="K63" s="213"/>
      <c r="L63" s="181"/>
      <c r="M63" s="181"/>
      <c r="N63" s="181"/>
      <c r="O63" s="181"/>
      <c r="P63" s="181"/>
    </row>
    <row r="64" spans="2:16">
      <c r="G64" s="181"/>
      <c r="H64" s="181"/>
      <c r="I64" s="329"/>
      <c r="J64" s="329"/>
      <c r="K64" s="213"/>
      <c r="L64" s="181"/>
      <c r="M64" s="181"/>
      <c r="N64" s="181"/>
      <c r="O64" s="181"/>
      <c r="P64" s="181"/>
    </row>
    <row r="65" spans="7:16">
      <c r="G65" s="181"/>
      <c r="H65" s="181"/>
      <c r="I65" s="329"/>
      <c r="J65" s="329"/>
      <c r="K65" s="213"/>
      <c r="L65" s="181"/>
      <c r="M65" s="181"/>
      <c r="N65" s="181"/>
      <c r="O65" s="181"/>
      <c r="P65" s="181"/>
    </row>
    <row r="66" spans="7:16">
      <c r="G66" s="181"/>
      <c r="H66" s="181"/>
      <c r="I66" s="181"/>
      <c r="J66" s="181"/>
      <c r="K66" s="213"/>
      <c r="L66" s="181"/>
      <c r="M66" s="181"/>
      <c r="N66" s="181"/>
      <c r="O66" s="181"/>
      <c r="P66" s="181"/>
    </row>
    <row r="67" spans="7:16">
      <c r="G67" s="181"/>
      <c r="H67" s="181"/>
      <c r="I67" s="181"/>
      <c r="J67" s="181"/>
      <c r="K67" s="213"/>
      <c r="L67" s="181"/>
      <c r="M67" s="181"/>
      <c r="N67" s="181"/>
      <c r="O67" s="181"/>
      <c r="P67" s="181"/>
    </row>
    <row r="68" spans="7:16">
      <c r="G68" s="181"/>
      <c r="H68" s="181"/>
      <c r="I68" s="181"/>
      <c r="J68" s="181"/>
      <c r="K68" s="230"/>
      <c r="L68" s="181"/>
      <c r="M68" s="181"/>
      <c r="N68" s="181"/>
      <c r="O68" s="181"/>
      <c r="P68" s="181"/>
    </row>
    <row r="69" spans="7:16">
      <c r="G69" s="181"/>
      <c r="H69" s="181"/>
      <c r="I69" s="181"/>
      <c r="J69" s="181"/>
      <c r="K69" s="330"/>
      <c r="L69" s="181"/>
      <c r="M69" s="181"/>
      <c r="N69" s="181"/>
      <c r="O69" s="181"/>
      <c r="P69" s="181"/>
    </row>
    <row r="70" spans="7:16">
      <c r="G70" s="181"/>
      <c r="H70" s="181"/>
      <c r="I70" s="181"/>
      <c r="J70" s="181"/>
      <c r="K70" s="330"/>
      <c r="L70" s="181"/>
      <c r="M70" s="181"/>
      <c r="N70" s="181"/>
      <c r="O70" s="181"/>
      <c r="P70" s="181"/>
    </row>
    <row r="71" spans="7:16">
      <c r="G71" s="181"/>
      <c r="H71" s="181"/>
      <c r="I71" s="181"/>
      <c r="J71" s="181"/>
      <c r="K71" s="330"/>
      <c r="L71" s="181"/>
      <c r="M71" s="181"/>
      <c r="N71" s="181"/>
      <c r="O71" s="181"/>
      <c r="P71" s="181"/>
    </row>
    <row r="72" spans="7:16">
      <c r="G72" s="181"/>
      <c r="H72" s="181"/>
      <c r="I72" s="181"/>
      <c r="J72" s="181"/>
      <c r="K72" s="330"/>
      <c r="L72" s="181"/>
      <c r="M72" s="181"/>
      <c r="N72" s="181"/>
      <c r="O72" s="181"/>
      <c r="P72" s="181"/>
    </row>
    <row r="73" spans="7:16">
      <c r="G73" s="181"/>
      <c r="H73" s="181"/>
      <c r="I73" s="181"/>
      <c r="J73" s="181"/>
      <c r="L73" s="181"/>
      <c r="M73" s="181"/>
      <c r="N73" s="181"/>
      <c r="O73" s="181"/>
      <c r="P73" s="181"/>
    </row>
    <row r="74" spans="7:16">
      <c r="G74" s="181"/>
      <c r="H74" s="181"/>
      <c r="I74" s="181"/>
      <c r="J74" s="181"/>
      <c r="L74" s="181"/>
      <c r="M74" s="181"/>
      <c r="N74" s="181"/>
      <c r="O74" s="181"/>
      <c r="P74" s="181"/>
    </row>
    <row r="75" spans="7:16">
      <c r="G75" s="181"/>
      <c r="H75" s="181"/>
      <c r="I75" s="181"/>
      <c r="J75" s="181"/>
      <c r="L75" s="181"/>
      <c r="M75" s="181"/>
      <c r="N75" s="181"/>
      <c r="O75" s="181"/>
      <c r="P75" s="181"/>
    </row>
    <row r="76" spans="7:16">
      <c r="G76" s="181"/>
      <c r="H76" s="181"/>
      <c r="I76" s="181"/>
      <c r="J76" s="181"/>
      <c r="L76" s="181"/>
      <c r="M76" s="181"/>
      <c r="N76" s="181"/>
      <c r="O76" s="181"/>
      <c r="P76" s="181"/>
    </row>
    <row r="77" spans="7:16">
      <c r="G77" s="181"/>
      <c r="H77" s="181"/>
      <c r="I77" s="181"/>
      <c r="J77" s="181"/>
      <c r="L77" s="181"/>
      <c r="M77" s="181"/>
      <c r="N77" s="181"/>
      <c r="O77" s="181"/>
      <c r="P77" s="181"/>
    </row>
    <row r="78" spans="7:16">
      <c r="G78" s="181"/>
      <c r="H78" s="181"/>
      <c r="I78" s="181"/>
      <c r="J78" s="181"/>
      <c r="L78" s="181"/>
      <c r="M78" s="181"/>
      <c r="N78" s="181"/>
      <c r="O78" s="181"/>
      <c r="P78" s="181"/>
    </row>
    <row r="79" spans="7:16">
      <c r="G79" s="181"/>
      <c r="H79" s="181"/>
      <c r="I79" s="181"/>
      <c r="J79" s="181"/>
      <c r="L79" s="181"/>
      <c r="M79" s="181"/>
      <c r="N79" s="181"/>
      <c r="O79" s="181"/>
      <c r="P79" s="181"/>
    </row>
    <row r="80" spans="7:16">
      <c r="G80" s="181"/>
      <c r="H80" s="181"/>
      <c r="I80" s="181"/>
      <c r="J80" s="181"/>
      <c r="L80" s="181"/>
      <c r="M80" s="181"/>
      <c r="N80" s="181"/>
      <c r="O80" s="181"/>
      <c r="P80" s="181"/>
    </row>
    <row r="81" spans="7:16">
      <c r="G81" s="181"/>
      <c r="H81" s="181"/>
      <c r="I81" s="181"/>
      <c r="J81" s="181"/>
      <c r="L81" s="181"/>
      <c r="M81" s="181"/>
      <c r="N81" s="181"/>
      <c r="O81" s="181"/>
      <c r="P81" s="181"/>
    </row>
    <row r="82" spans="7:16">
      <c r="G82" s="181"/>
      <c r="H82" s="181"/>
      <c r="I82" s="181"/>
      <c r="J82" s="181"/>
      <c r="L82" s="181"/>
      <c r="M82" s="181"/>
      <c r="N82" s="181"/>
      <c r="O82" s="181"/>
      <c r="P82" s="181"/>
    </row>
    <row r="83" spans="7:16">
      <c r="G83" s="181"/>
      <c r="H83" s="181"/>
      <c r="I83" s="181"/>
      <c r="J83" s="181"/>
      <c r="L83" s="181"/>
      <c r="M83" s="181"/>
      <c r="N83" s="181"/>
      <c r="O83" s="181"/>
      <c r="P83" s="181"/>
    </row>
    <row r="84" spans="7:16">
      <c r="G84" s="181"/>
      <c r="H84" s="181"/>
      <c r="I84" s="181"/>
      <c r="J84" s="181"/>
      <c r="L84" s="181"/>
      <c r="M84" s="181"/>
      <c r="N84" s="181"/>
      <c r="O84" s="181"/>
      <c r="P84" s="181"/>
    </row>
    <row r="85" spans="7:16">
      <c r="G85" s="181"/>
      <c r="H85" s="181"/>
      <c r="I85" s="181"/>
      <c r="J85" s="181"/>
      <c r="L85" s="181"/>
      <c r="M85" s="181"/>
      <c r="N85" s="181"/>
      <c r="O85" s="181"/>
      <c r="P85" s="181"/>
    </row>
    <row r="86" spans="7:16">
      <c r="G86" s="181"/>
      <c r="H86" s="181"/>
      <c r="I86" s="181"/>
      <c r="J86" s="181"/>
      <c r="L86" s="181"/>
      <c r="M86" s="181"/>
      <c r="N86" s="181"/>
      <c r="O86" s="181"/>
      <c r="P86" s="181"/>
    </row>
    <row r="87" spans="7:16">
      <c r="G87" s="181"/>
      <c r="H87" s="181"/>
      <c r="I87" s="181"/>
      <c r="J87" s="181"/>
      <c r="L87" s="181"/>
      <c r="M87" s="181"/>
      <c r="N87" s="181"/>
      <c r="O87" s="181"/>
      <c r="P87" s="181"/>
    </row>
    <row r="88" spans="7:16">
      <c r="G88" s="181"/>
      <c r="H88" s="181"/>
      <c r="I88" s="181"/>
      <c r="J88" s="181"/>
      <c r="L88" s="181"/>
      <c r="M88" s="181"/>
      <c r="N88" s="181"/>
      <c r="O88" s="181"/>
      <c r="P88" s="181"/>
    </row>
    <row r="89" spans="7:16">
      <c r="G89" s="181"/>
      <c r="H89" s="181"/>
      <c r="I89" s="181"/>
      <c r="J89" s="181"/>
      <c r="L89" s="181"/>
      <c r="M89" s="181"/>
      <c r="N89" s="181"/>
      <c r="O89" s="181"/>
      <c r="P89" s="181"/>
    </row>
    <row r="90" spans="7:16">
      <c r="G90" s="181"/>
      <c r="H90" s="181"/>
      <c r="I90" s="181"/>
      <c r="J90" s="181"/>
      <c r="L90" s="181"/>
      <c r="M90" s="181"/>
      <c r="N90" s="181"/>
      <c r="O90" s="181"/>
      <c r="P90" s="181"/>
    </row>
    <row r="91" spans="7:16">
      <c r="G91" s="181"/>
      <c r="H91" s="181"/>
      <c r="I91" s="181"/>
      <c r="J91" s="181"/>
      <c r="L91" s="181"/>
      <c r="M91" s="181"/>
      <c r="N91" s="181"/>
      <c r="O91" s="181"/>
      <c r="P91" s="181"/>
    </row>
    <row r="92" spans="7:16">
      <c r="G92" s="181"/>
      <c r="H92" s="181"/>
      <c r="I92" s="181"/>
      <c r="J92" s="181"/>
      <c r="L92" s="181"/>
      <c r="M92" s="181"/>
      <c r="N92" s="181"/>
      <c r="O92" s="181"/>
      <c r="P92" s="181"/>
    </row>
    <row r="93" spans="7:16">
      <c r="G93" s="181"/>
      <c r="H93" s="181"/>
      <c r="I93" s="181"/>
      <c r="J93" s="181"/>
      <c r="L93" s="181"/>
      <c r="M93" s="181"/>
      <c r="N93" s="181"/>
      <c r="O93" s="181"/>
      <c r="P93" s="181"/>
    </row>
    <row r="94" spans="7:16">
      <c r="G94" s="181"/>
      <c r="H94" s="181"/>
      <c r="I94" s="181"/>
      <c r="J94" s="181"/>
      <c r="L94" s="181"/>
      <c r="M94" s="181"/>
      <c r="N94" s="181"/>
      <c r="O94" s="181"/>
      <c r="P94" s="181"/>
    </row>
    <row r="95" spans="7:16">
      <c r="G95" s="181"/>
      <c r="H95" s="181"/>
      <c r="I95" s="181"/>
      <c r="J95" s="181"/>
      <c r="L95" s="181"/>
      <c r="M95" s="181"/>
      <c r="N95" s="181"/>
      <c r="O95" s="181"/>
      <c r="P95" s="181"/>
    </row>
    <row r="96" spans="7:16">
      <c r="G96" s="181"/>
      <c r="H96" s="181"/>
      <c r="I96" s="181"/>
      <c r="J96" s="181"/>
      <c r="L96" s="181"/>
      <c r="M96" s="181"/>
      <c r="N96" s="181"/>
      <c r="O96" s="181"/>
      <c r="P96" s="181"/>
    </row>
    <row r="97" spans="7:16">
      <c r="G97" s="181"/>
      <c r="H97" s="181"/>
      <c r="I97" s="181"/>
      <c r="J97" s="181"/>
      <c r="L97" s="181"/>
      <c r="M97" s="181"/>
      <c r="N97" s="181"/>
      <c r="O97" s="181"/>
      <c r="P97" s="181"/>
    </row>
    <row r="98" spans="7:16">
      <c r="G98" s="181"/>
      <c r="H98" s="181"/>
      <c r="I98" s="181"/>
      <c r="J98" s="181"/>
      <c r="L98" s="181"/>
      <c r="M98" s="181"/>
      <c r="N98" s="181"/>
      <c r="O98" s="181"/>
      <c r="P98" s="181"/>
    </row>
    <row r="99" spans="7:16">
      <c r="G99" s="181"/>
      <c r="H99" s="181"/>
      <c r="I99" s="181"/>
      <c r="J99" s="181"/>
      <c r="L99" s="181"/>
      <c r="M99" s="181"/>
      <c r="N99" s="181"/>
      <c r="O99" s="181"/>
      <c r="P99" s="181"/>
    </row>
    <row r="100" spans="7:16">
      <c r="G100" s="181"/>
      <c r="H100" s="181"/>
      <c r="I100" s="181"/>
      <c r="J100" s="181"/>
      <c r="L100" s="181"/>
      <c r="M100" s="181"/>
      <c r="N100" s="181"/>
      <c r="O100" s="181"/>
      <c r="P100" s="181"/>
    </row>
    <row r="101" spans="7:16">
      <c r="G101" s="181"/>
      <c r="H101" s="181"/>
      <c r="I101" s="181"/>
      <c r="J101" s="181"/>
      <c r="L101" s="181"/>
      <c r="M101" s="181"/>
      <c r="N101" s="181"/>
      <c r="O101" s="181"/>
      <c r="P101" s="181"/>
    </row>
    <row r="102" spans="7:16">
      <c r="G102" s="181"/>
      <c r="H102" s="181"/>
      <c r="I102" s="181"/>
      <c r="J102" s="181"/>
      <c r="L102" s="181"/>
      <c r="M102" s="181"/>
      <c r="N102" s="181"/>
      <c r="O102" s="181"/>
      <c r="P102" s="181"/>
    </row>
    <row r="103" spans="7:16">
      <c r="G103" s="181"/>
      <c r="H103" s="181"/>
      <c r="I103" s="181"/>
      <c r="J103" s="181"/>
      <c r="L103" s="181"/>
      <c r="M103" s="181"/>
      <c r="N103" s="181"/>
      <c r="O103" s="181"/>
      <c r="P103" s="181"/>
    </row>
    <row r="104" spans="7:16">
      <c r="G104" s="181"/>
      <c r="H104" s="181"/>
      <c r="I104" s="181"/>
      <c r="J104" s="181"/>
      <c r="L104" s="181"/>
      <c r="M104" s="181"/>
      <c r="N104" s="181"/>
      <c r="O104" s="181"/>
      <c r="P104" s="181"/>
    </row>
    <row r="105" spans="7:16">
      <c r="G105" s="181"/>
      <c r="H105" s="181"/>
      <c r="I105" s="181"/>
      <c r="J105" s="181"/>
      <c r="L105" s="181"/>
      <c r="M105" s="181"/>
      <c r="N105" s="181"/>
      <c r="O105" s="181"/>
      <c r="P105" s="181"/>
    </row>
    <row r="106" spans="7:16">
      <c r="G106" s="181"/>
      <c r="H106" s="181"/>
      <c r="I106" s="181"/>
      <c r="J106" s="181"/>
      <c r="L106" s="181"/>
      <c r="M106" s="181"/>
      <c r="N106" s="181"/>
      <c r="O106" s="181"/>
      <c r="P106" s="181"/>
    </row>
    <row r="107" spans="7:16">
      <c r="G107" s="181"/>
      <c r="H107" s="181"/>
      <c r="I107" s="181"/>
      <c r="J107" s="181"/>
      <c r="L107" s="181"/>
      <c r="M107" s="181"/>
      <c r="N107" s="181"/>
      <c r="O107" s="181"/>
      <c r="P107" s="181"/>
    </row>
    <row r="108" spans="7:16">
      <c r="G108" s="181"/>
      <c r="H108" s="181"/>
      <c r="I108" s="181"/>
      <c r="J108" s="181"/>
      <c r="L108" s="181"/>
      <c r="M108" s="181"/>
      <c r="N108" s="181"/>
      <c r="O108" s="181"/>
      <c r="P108" s="181"/>
    </row>
    <row r="109" spans="7:16">
      <c r="G109" s="181"/>
      <c r="H109" s="181"/>
      <c r="I109" s="181"/>
      <c r="J109" s="181"/>
      <c r="L109" s="181"/>
      <c r="M109" s="181"/>
      <c r="N109" s="181"/>
      <c r="O109" s="181"/>
      <c r="P109" s="181"/>
    </row>
    <row r="110" spans="7:16">
      <c r="G110" s="181"/>
      <c r="H110" s="181"/>
      <c r="I110" s="181"/>
      <c r="J110" s="181"/>
      <c r="L110" s="181"/>
      <c r="M110" s="181"/>
      <c r="N110" s="181"/>
      <c r="O110" s="181"/>
      <c r="P110" s="181"/>
    </row>
    <row r="111" spans="7:16">
      <c r="G111" s="181"/>
      <c r="H111" s="181"/>
      <c r="I111" s="181"/>
      <c r="J111" s="181"/>
      <c r="L111" s="181"/>
      <c r="M111" s="181"/>
      <c r="N111" s="181"/>
      <c r="O111" s="181"/>
      <c r="P111" s="181"/>
    </row>
    <row r="112" spans="7:16">
      <c r="G112" s="181"/>
      <c r="H112" s="181"/>
      <c r="I112" s="181"/>
      <c r="J112" s="181"/>
      <c r="L112" s="181"/>
      <c r="M112" s="181"/>
      <c r="N112" s="181"/>
      <c r="O112" s="181"/>
      <c r="P112" s="181"/>
    </row>
    <row r="113" spans="7:16">
      <c r="G113" s="181"/>
      <c r="H113" s="181"/>
      <c r="I113" s="181"/>
      <c r="J113" s="181"/>
      <c r="L113" s="181"/>
      <c r="M113" s="181"/>
      <c r="N113" s="181"/>
      <c r="O113" s="181"/>
      <c r="P113" s="181"/>
    </row>
    <row r="114" spans="7:16">
      <c r="G114" s="181"/>
      <c r="H114" s="181"/>
      <c r="I114" s="181"/>
      <c r="J114" s="181"/>
      <c r="L114" s="181"/>
      <c r="M114" s="181"/>
      <c r="N114" s="181"/>
      <c r="O114" s="181"/>
      <c r="P114" s="181"/>
    </row>
    <row r="115" spans="7:16">
      <c r="G115" s="181"/>
      <c r="H115" s="181"/>
      <c r="I115" s="181"/>
      <c r="J115" s="181"/>
      <c r="L115" s="181"/>
      <c r="M115" s="181"/>
      <c r="N115" s="181"/>
      <c r="O115" s="181"/>
      <c r="P115" s="181"/>
    </row>
    <row r="116" spans="7:16">
      <c r="G116" s="181"/>
      <c r="H116" s="181"/>
      <c r="I116" s="181"/>
      <c r="J116" s="181"/>
      <c r="L116" s="181"/>
      <c r="M116" s="181"/>
      <c r="N116" s="181"/>
      <c r="O116" s="181"/>
      <c r="P116" s="181"/>
    </row>
    <row r="117" spans="7:16">
      <c r="G117" s="181"/>
      <c r="H117" s="181"/>
      <c r="I117" s="181"/>
      <c r="J117" s="181"/>
      <c r="L117" s="181"/>
      <c r="M117" s="181"/>
      <c r="N117" s="181"/>
      <c r="O117" s="181"/>
      <c r="P117" s="181"/>
    </row>
    <row r="118" spans="7:16">
      <c r="G118" s="181"/>
      <c r="H118" s="181"/>
      <c r="I118" s="181"/>
      <c r="J118" s="181"/>
      <c r="L118" s="181"/>
      <c r="M118" s="181"/>
      <c r="N118" s="181"/>
      <c r="O118" s="181"/>
      <c r="P118" s="181"/>
    </row>
    <row r="119" spans="7:16">
      <c r="G119" s="181"/>
      <c r="H119" s="181"/>
      <c r="I119" s="181"/>
      <c r="J119" s="181"/>
      <c r="L119" s="181"/>
      <c r="M119" s="181"/>
      <c r="N119" s="181"/>
      <c r="O119" s="181"/>
      <c r="P119" s="181"/>
    </row>
    <row r="120" spans="7:16">
      <c r="G120" s="181"/>
      <c r="H120" s="181"/>
      <c r="I120" s="181"/>
      <c r="J120" s="181"/>
      <c r="L120" s="181"/>
      <c r="M120" s="181"/>
      <c r="N120" s="181"/>
      <c r="O120" s="181"/>
      <c r="P120" s="181"/>
    </row>
    <row r="121" spans="7:16">
      <c r="G121" s="181"/>
      <c r="H121" s="181"/>
      <c r="I121" s="181"/>
      <c r="J121" s="181"/>
      <c r="L121" s="181"/>
      <c r="M121" s="181"/>
      <c r="N121" s="181"/>
      <c r="O121" s="181"/>
      <c r="P121" s="181"/>
    </row>
    <row r="122" spans="7:16">
      <c r="G122" s="181"/>
      <c r="H122" s="181"/>
      <c r="I122" s="181"/>
      <c r="J122" s="181"/>
      <c r="L122" s="181"/>
      <c r="M122" s="181"/>
      <c r="N122" s="181"/>
      <c r="O122" s="181"/>
      <c r="P122" s="181"/>
    </row>
    <row r="123" spans="7:16">
      <c r="G123" s="181"/>
      <c r="H123" s="181"/>
      <c r="I123" s="181"/>
      <c r="J123" s="181"/>
      <c r="L123" s="181"/>
      <c r="M123" s="181"/>
      <c r="N123" s="181"/>
      <c r="O123" s="181"/>
      <c r="P123" s="181"/>
    </row>
    <row r="124" spans="7:16">
      <c r="G124" s="181"/>
      <c r="H124" s="181"/>
      <c r="I124" s="181"/>
      <c r="J124" s="181"/>
      <c r="L124" s="181"/>
      <c r="M124" s="181"/>
      <c r="N124" s="181"/>
      <c r="O124" s="181"/>
      <c r="P124" s="181"/>
    </row>
    <row r="125" spans="7:16">
      <c r="G125" s="181"/>
      <c r="H125" s="181"/>
      <c r="I125" s="181"/>
      <c r="J125" s="181"/>
      <c r="L125" s="181"/>
      <c r="M125" s="181"/>
      <c r="N125" s="181"/>
      <c r="O125" s="181"/>
      <c r="P125" s="181"/>
    </row>
    <row r="126" spans="7:16">
      <c r="G126" s="181"/>
      <c r="H126" s="181"/>
      <c r="I126" s="181"/>
      <c r="J126" s="181"/>
      <c r="L126" s="181"/>
      <c r="M126" s="181"/>
      <c r="N126" s="181"/>
      <c r="O126" s="181"/>
      <c r="P126" s="181"/>
    </row>
    <row r="127" spans="7:16">
      <c r="G127" s="181"/>
      <c r="H127" s="181"/>
      <c r="I127" s="181"/>
      <c r="J127" s="181"/>
      <c r="L127" s="181"/>
      <c r="M127" s="181"/>
      <c r="N127" s="181"/>
      <c r="O127" s="181"/>
      <c r="P127" s="181"/>
    </row>
    <row r="128" spans="7:16">
      <c r="G128" s="181"/>
      <c r="H128" s="181"/>
      <c r="I128" s="181"/>
      <c r="J128" s="181"/>
      <c r="L128" s="181"/>
      <c r="M128" s="181"/>
      <c r="N128" s="181"/>
      <c r="O128" s="181"/>
      <c r="P128" s="181"/>
    </row>
    <row r="129" spans="7:16">
      <c r="G129" s="181"/>
      <c r="H129" s="181"/>
      <c r="I129" s="181"/>
      <c r="J129" s="181"/>
      <c r="L129" s="181"/>
      <c r="M129" s="181"/>
      <c r="N129" s="181"/>
      <c r="O129" s="181"/>
      <c r="P129" s="181"/>
    </row>
    <row r="130" spans="7:16">
      <c r="G130" s="181"/>
      <c r="H130" s="181"/>
      <c r="I130" s="181"/>
      <c r="J130" s="181"/>
      <c r="L130" s="181"/>
      <c r="M130" s="181"/>
      <c r="N130" s="181"/>
      <c r="O130" s="181"/>
      <c r="P130" s="181"/>
    </row>
    <row r="131" spans="7:16">
      <c r="G131" s="181"/>
      <c r="H131" s="181"/>
      <c r="I131" s="181"/>
      <c r="J131" s="181"/>
      <c r="L131" s="181"/>
      <c r="M131" s="181"/>
      <c r="N131" s="181"/>
      <c r="O131" s="181"/>
      <c r="P131" s="181"/>
    </row>
    <row r="132" spans="7:16">
      <c r="G132" s="181"/>
      <c r="H132" s="181"/>
      <c r="I132" s="181"/>
      <c r="J132" s="181"/>
      <c r="L132" s="181"/>
      <c r="M132" s="181"/>
      <c r="N132" s="181"/>
      <c r="O132" s="181"/>
      <c r="P132" s="181"/>
    </row>
    <row r="133" spans="7:16">
      <c r="G133" s="181"/>
      <c r="H133" s="181"/>
      <c r="I133" s="181"/>
      <c r="J133" s="181"/>
      <c r="L133" s="181"/>
      <c r="M133" s="181"/>
      <c r="N133" s="181"/>
      <c r="O133" s="181"/>
      <c r="P133" s="181"/>
    </row>
    <row r="134" spans="7:16">
      <c r="G134" s="181"/>
      <c r="H134" s="181"/>
      <c r="I134" s="181"/>
      <c r="J134" s="181"/>
      <c r="L134" s="181"/>
      <c r="M134" s="181"/>
      <c r="N134" s="181"/>
      <c r="O134" s="181"/>
      <c r="P134" s="181"/>
    </row>
    <row r="135" spans="7:16">
      <c r="G135" s="181"/>
      <c r="H135" s="181"/>
      <c r="I135" s="181"/>
      <c r="J135" s="181"/>
      <c r="L135" s="181"/>
      <c r="M135" s="181"/>
      <c r="N135" s="181"/>
      <c r="O135" s="181"/>
      <c r="P135" s="181"/>
    </row>
    <row r="136" spans="7:16">
      <c r="G136" s="181"/>
      <c r="H136" s="181"/>
      <c r="I136" s="181"/>
      <c r="J136" s="181"/>
      <c r="L136" s="181"/>
      <c r="M136" s="181"/>
      <c r="N136" s="181"/>
      <c r="O136" s="181"/>
      <c r="P136" s="181"/>
    </row>
    <row r="137" spans="7:16">
      <c r="G137" s="181"/>
      <c r="H137" s="181"/>
      <c r="I137" s="181"/>
      <c r="J137" s="181"/>
      <c r="L137" s="181"/>
      <c r="M137" s="181"/>
      <c r="N137" s="181"/>
      <c r="O137" s="181"/>
      <c r="P137" s="181"/>
    </row>
    <row r="138" spans="7:16">
      <c r="G138" s="181"/>
      <c r="H138" s="181"/>
      <c r="I138" s="181"/>
      <c r="J138" s="181"/>
      <c r="L138" s="181"/>
      <c r="M138" s="181"/>
      <c r="N138" s="181"/>
      <c r="O138" s="181"/>
      <c r="P138" s="181"/>
    </row>
    <row r="139" spans="7:16">
      <c r="G139" s="181"/>
      <c r="H139" s="181"/>
      <c r="I139" s="181"/>
      <c r="J139" s="181"/>
      <c r="L139" s="181"/>
      <c r="M139" s="181"/>
      <c r="N139" s="181"/>
      <c r="O139" s="181"/>
      <c r="P139" s="181"/>
    </row>
    <row r="140" spans="7:16">
      <c r="G140" s="181"/>
      <c r="H140" s="181"/>
      <c r="I140" s="181"/>
      <c r="J140" s="181"/>
      <c r="L140" s="181"/>
      <c r="M140" s="181"/>
      <c r="N140" s="181"/>
      <c r="O140" s="181"/>
      <c r="P140" s="181"/>
    </row>
    <row r="141" spans="7:16">
      <c r="G141" s="181"/>
      <c r="H141" s="181"/>
      <c r="I141" s="181"/>
      <c r="J141" s="181"/>
      <c r="L141" s="181"/>
      <c r="M141" s="181"/>
      <c r="N141" s="181"/>
      <c r="O141" s="181"/>
      <c r="P141" s="181"/>
    </row>
    <row r="142" spans="7:16">
      <c r="G142" s="181"/>
      <c r="H142" s="181"/>
      <c r="I142" s="181"/>
      <c r="J142" s="181"/>
      <c r="L142" s="181"/>
      <c r="M142" s="181"/>
      <c r="N142" s="181"/>
      <c r="O142" s="181"/>
      <c r="P142" s="181"/>
    </row>
    <row r="143" spans="7:16">
      <c r="G143" s="181"/>
      <c r="H143" s="181"/>
      <c r="I143" s="181"/>
      <c r="J143" s="181"/>
      <c r="L143" s="181"/>
      <c r="M143" s="181"/>
      <c r="N143" s="181"/>
      <c r="O143" s="181"/>
      <c r="P143" s="181"/>
    </row>
    <row r="144" spans="7:16">
      <c r="G144" s="181"/>
      <c r="H144" s="181"/>
      <c r="I144" s="181"/>
      <c r="J144" s="181"/>
      <c r="L144" s="181"/>
      <c r="M144" s="181"/>
      <c r="N144" s="181"/>
      <c r="O144" s="181"/>
      <c r="P144" s="181"/>
    </row>
    <row r="145" spans="7:16">
      <c r="G145" s="181"/>
      <c r="H145" s="181"/>
      <c r="I145" s="181"/>
      <c r="J145" s="181"/>
      <c r="L145" s="181"/>
      <c r="M145" s="181"/>
      <c r="N145" s="181"/>
      <c r="O145" s="181"/>
      <c r="P145" s="181"/>
    </row>
    <row r="146" spans="7:16">
      <c r="G146" s="181"/>
      <c r="H146" s="181"/>
      <c r="I146" s="181"/>
      <c r="J146" s="181"/>
      <c r="L146" s="181"/>
      <c r="M146" s="181"/>
      <c r="N146" s="181"/>
      <c r="O146" s="181"/>
      <c r="P146" s="181"/>
    </row>
    <row r="147" spans="7:16">
      <c r="G147" s="181"/>
      <c r="H147" s="181"/>
      <c r="I147" s="181"/>
      <c r="J147" s="181"/>
      <c r="L147" s="181"/>
      <c r="M147" s="181"/>
      <c r="N147" s="181"/>
      <c r="O147" s="181"/>
      <c r="P147" s="181"/>
    </row>
    <row r="148" spans="7:16">
      <c r="G148" s="181"/>
      <c r="H148" s="181"/>
      <c r="I148" s="181"/>
      <c r="J148" s="181"/>
      <c r="L148" s="181"/>
      <c r="M148" s="181"/>
      <c r="N148" s="181"/>
      <c r="O148" s="181"/>
      <c r="P148" s="181"/>
    </row>
    <row r="149" spans="7:16">
      <c r="G149" s="181"/>
      <c r="H149" s="181"/>
      <c r="I149" s="181"/>
      <c r="J149" s="181"/>
      <c r="L149" s="181"/>
      <c r="M149" s="181"/>
      <c r="N149" s="181"/>
      <c r="O149" s="181"/>
      <c r="P149" s="181"/>
    </row>
    <row r="150" spans="7:16">
      <c r="G150" s="181"/>
      <c r="H150" s="181"/>
      <c r="I150" s="181"/>
      <c r="J150" s="181"/>
      <c r="L150" s="181"/>
      <c r="M150" s="181"/>
      <c r="N150" s="181"/>
      <c r="O150" s="181"/>
      <c r="P150" s="181"/>
    </row>
    <row r="151" spans="7:16">
      <c r="G151" s="181"/>
      <c r="H151" s="181"/>
      <c r="I151" s="181"/>
      <c r="J151" s="181"/>
      <c r="L151" s="181"/>
      <c r="M151" s="181"/>
      <c r="N151" s="181"/>
      <c r="O151" s="181"/>
      <c r="P151" s="181"/>
    </row>
    <row r="152" spans="7:16">
      <c r="G152" s="181"/>
      <c r="H152" s="181"/>
      <c r="I152" s="181"/>
      <c r="J152" s="181"/>
      <c r="L152" s="181"/>
      <c r="M152" s="181"/>
      <c r="N152" s="181"/>
      <c r="O152" s="181"/>
      <c r="P152" s="181"/>
    </row>
    <row r="153" spans="7:16">
      <c r="G153" s="181"/>
      <c r="H153" s="181"/>
      <c r="I153" s="181"/>
      <c r="J153" s="181"/>
      <c r="L153" s="181"/>
      <c r="M153" s="181"/>
      <c r="N153" s="181"/>
      <c r="O153" s="181"/>
      <c r="P153" s="181"/>
    </row>
    <row r="154" spans="7:16">
      <c r="G154" s="181"/>
      <c r="H154" s="181"/>
      <c r="I154" s="181"/>
      <c r="J154" s="181"/>
      <c r="L154" s="181"/>
      <c r="M154" s="181"/>
      <c r="N154" s="181"/>
      <c r="O154" s="181"/>
      <c r="P154" s="181"/>
    </row>
    <row r="155" spans="7:16">
      <c r="G155" s="181"/>
      <c r="H155" s="181"/>
      <c r="I155" s="181"/>
      <c r="J155" s="181"/>
      <c r="L155" s="181"/>
      <c r="M155" s="181"/>
      <c r="N155" s="181"/>
      <c r="O155" s="181"/>
      <c r="P155" s="181"/>
    </row>
    <row r="156" spans="7:16">
      <c r="G156" s="181"/>
      <c r="H156" s="181"/>
      <c r="I156" s="181"/>
      <c r="J156" s="181"/>
      <c r="L156" s="181"/>
      <c r="M156" s="181"/>
      <c r="N156" s="181"/>
      <c r="O156" s="181"/>
      <c r="P156" s="181"/>
    </row>
    <row r="157" spans="7:16">
      <c r="G157" s="181"/>
      <c r="H157" s="181"/>
      <c r="I157" s="181"/>
      <c r="J157" s="181"/>
      <c r="L157" s="181"/>
      <c r="M157" s="181"/>
      <c r="N157" s="181"/>
      <c r="O157" s="181"/>
      <c r="P157" s="181"/>
    </row>
    <row r="158" spans="7:16">
      <c r="G158" s="181"/>
      <c r="H158" s="181"/>
      <c r="I158" s="181"/>
      <c r="J158" s="181"/>
      <c r="L158" s="181"/>
      <c r="M158" s="181"/>
      <c r="N158" s="181"/>
      <c r="O158" s="181"/>
      <c r="P158" s="181"/>
    </row>
    <row r="159" spans="7:16">
      <c r="G159" s="181"/>
      <c r="H159" s="181"/>
      <c r="I159" s="181"/>
      <c r="J159" s="181"/>
      <c r="L159" s="181"/>
      <c r="M159" s="181"/>
      <c r="N159" s="181"/>
      <c r="O159" s="181"/>
      <c r="P159" s="181"/>
    </row>
    <row r="160" spans="7:16">
      <c r="G160" s="181"/>
      <c r="H160" s="181"/>
      <c r="I160" s="181"/>
      <c r="J160" s="181"/>
      <c r="L160" s="181"/>
      <c r="M160" s="181"/>
      <c r="N160" s="181"/>
      <c r="O160" s="181"/>
      <c r="P160" s="181"/>
    </row>
    <row r="161" spans="7:16">
      <c r="G161" s="181"/>
      <c r="H161" s="181"/>
      <c r="I161" s="181"/>
      <c r="J161" s="181"/>
      <c r="L161" s="181"/>
      <c r="M161" s="181"/>
      <c r="N161" s="181"/>
      <c r="O161" s="181"/>
      <c r="P161" s="181"/>
    </row>
    <row r="162" spans="7:16">
      <c r="G162" s="181"/>
      <c r="H162" s="181"/>
      <c r="I162" s="181"/>
      <c r="J162" s="181"/>
      <c r="L162" s="181"/>
      <c r="M162" s="181"/>
      <c r="N162" s="181"/>
      <c r="O162" s="181"/>
      <c r="P162" s="181"/>
    </row>
    <row r="163" spans="7:16">
      <c r="G163" s="181"/>
      <c r="H163" s="181"/>
      <c r="I163" s="181"/>
      <c r="J163" s="181"/>
      <c r="L163" s="181"/>
      <c r="M163" s="181"/>
      <c r="N163" s="181"/>
      <c r="O163" s="181"/>
      <c r="P163" s="181"/>
    </row>
    <row r="164" spans="7:16">
      <c r="G164" s="181"/>
      <c r="H164" s="181"/>
      <c r="I164" s="181"/>
      <c r="J164" s="181"/>
      <c r="L164" s="181"/>
      <c r="M164" s="181"/>
      <c r="N164" s="181"/>
      <c r="O164" s="181"/>
      <c r="P164" s="181"/>
    </row>
    <row r="165" spans="7:16">
      <c r="G165" s="181"/>
      <c r="H165" s="181"/>
      <c r="I165" s="181"/>
      <c r="J165" s="181"/>
      <c r="L165" s="181"/>
      <c r="M165" s="181"/>
      <c r="N165" s="181"/>
      <c r="O165" s="181"/>
      <c r="P165" s="181"/>
    </row>
    <row r="166" spans="7:16">
      <c r="G166" s="181"/>
      <c r="H166" s="181"/>
      <c r="I166" s="181"/>
      <c r="J166" s="181"/>
      <c r="L166" s="181"/>
      <c r="M166" s="181"/>
      <c r="N166" s="181"/>
      <c r="O166" s="181"/>
      <c r="P166" s="181"/>
    </row>
    <row r="167" spans="7:16">
      <c r="G167" s="181"/>
      <c r="H167" s="181"/>
      <c r="I167" s="181"/>
      <c r="J167" s="181"/>
      <c r="L167" s="181"/>
      <c r="M167" s="181"/>
      <c r="N167" s="181"/>
      <c r="O167" s="181"/>
      <c r="P167" s="181"/>
    </row>
    <row r="168" spans="7:16">
      <c r="G168" s="181"/>
      <c r="H168" s="181"/>
      <c r="I168" s="181"/>
      <c r="J168" s="181"/>
      <c r="L168" s="181"/>
      <c r="M168" s="181"/>
      <c r="N168" s="181"/>
      <c r="O168" s="181"/>
      <c r="P168" s="181"/>
    </row>
    <row r="169" spans="7:16">
      <c r="G169" s="181"/>
      <c r="H169" s="181"/>
      <c r="I169" s="181"/>
      <c r="J169" s="181"/>
      <c r="L169" s="181"/>
      <c r="M169" s="181"/>
      <c r="N169" s="181"/>
      <c r="O169" s="181"/>
      <c r="P169" s="181"/>
    </row>
    <row r="170" spans="7:16">
      <c r="G170" s="181"/>
      <c r="H170" s="181"/>
      <c r="I170" s="181"/>
      <c r="J170" s="181"/>
      <c r="L170" s="181"/>
      <c r="M170" s="181"/>
      <c r="N170" s="181"/>
      <c r="O170" s="181"/>
      <c r="P170" s="181"/>
    </row>
    <row r="171" spans="7:16">
      <c r="G171" s="181"/>
      <c r="H171" s="181"/>
      <c r="I171" s="181"/>
      <c r="J171" s="181"/>
      <c r="L171" s="181"/>
      <c r="M171" s="181"/>
      <c r="N171" s="181"/>
      <c r="O171" s="181"/>
      <c r="P171" s="181"/>
    </row>
    <row r="172" spans="7:16">
      <c r="G172" s="181"/>
      <c r="H172" s="181"/>
      <c r="I172" s="181"/>
      <c r="J172" s="181"/>
      <c r="L172" s="181"/>
      <c r="M172" s="181"/>
      <c r="N172" s="181"/>
      <c r="O172" s="181"/>
      <c r="P172" s="181"/>
    </row>
    <row r="173" spans="7:16">
      <c r="G173" s="181"/>
      <c r="H173" s="181"/>
      <c r="I173" s="181"/>
      <c r="J173" s="181"/>
      <c r="L173" s="181"/>
      <c r="M173" s="181"/>
      <c r="N173" s="181"/>
      <c r="O173" s="181"/>
      <c r="P173" s="181"/>
    </row>
    <row r="174" spans="7:16">
      <c r="G174" s="181"/>
      <c r="H174" s="181"/>
      <c r="I174" s="181"/>
      <c r="J174" s="181"/>
      <c r="L174" s="181"/>
      <c r="M174" s="181"/>
      <c r="N174" s="181"/>
      <c r="O174" s="181"/>
      <c r="P174" s="181"/>
    </row>
    <row r="175" spans="7:16">
      <c r="G175" s="181"/>
      <c r="H175" s="181"/>
      <c r="I175" s="181"/>
      <c r="J175" s="181"/>
      <c r="L175" s="181"/>
      <c r="M175" s="181"/>
      <c r="N175" s="181"/>
      <c r="O175" s="181"/>
      <c r="P175" s="181"/>
    </row>
    <row r="176" spans="7:16">
      <c r="G176" s="181"/>
      <c r="H176" s="181"/>
      <c r="I176" s="181"/>
      <c r="J176" s="181"/>
      <c r="L176" s="181"/>
      <c r="M176" s="181"/>
      <c r="N176" s="181"/>
      <c r="O176" s="181"/>
      <c r="P176" s="181"/>
    </row>
    <row r="177" spans="7:16">
      <c r="G177" s="181"/>
      <c r="H177" s="181"/>
      <c r="I177" s="181"/>
      <c r="J177" s="181"/>
      <c r="L177" s="181"/>
      <c r="M177" s="181"/>
      <c r="N177" s="181"/>
      <c r="O177" s="181"/>
      <c r="P177" s="181"/>
    </row>
    <row r="178" spans="7:16">
      <c r="G178" s="181"/>
      <c r="H178" s="181"/>
      <c r="I178" s="181"/>
      <c r="J178" s="181"/>
      <c r="L178" s="181"/>
      <c r="M178" s="181"/>
      <c r="N178" s="181"/>
      <c r="O178" s="181"/>
      <c r="P178" s="181"/>
    </row>
    <row r="179" spans="7:16">
      <c r="G179" s="181"/>
      <c r="H179" s="181"/>
      <c r="I179" s="181"/>
      <c r="J179" s="181"/>
      <c r="L179" s="181"/>
      <c r="M179" s="181"/>
      <c r="N179" s="181"/>
      <c r="O179" s="181"/>
      <c r="P179" s="181"/>
    </row>
    <row r="180" spans="7:16">
      <c r="G180" s="181"/>
      <c r="H180" s="181"/>
      <c r="I180" s="181"/>
      <c r="J180" s="181"/>
      <c r="L180" s="181"/>
      <c r="M180" s="181"/>
      <c r="N180" s="181"/>
      <c r="O180" s="181"/>
      <c r="P180" s="181"/>
    </row>
    <row r="181" spans="7:16">
      <c r="G181" s="181"/>
      <c r="H181" s="181"/>
      <c r="I181" s="181"/>
      <c r="J181" s="181"/>
      <c r="L181" s="181"/>
      <c r="M181" s="181"/>
      <c r="N181" s="181"/>
      <c r="O181" s="181"/>
      <c r="P181" s="181"/>
    </row>
    <row r="182" spans="7:16">
      <c r="G182" s="181"/>
      <c r="H182" s="181"/>
      <c r="I182" s="181"/>
      <c r="J182" s="181"/>
      <c r="L182" s="181"/>
      <c r="M182" s="181"/>
      <c r="N182" s="181"/>
      <c r="O182" s="181"/>
      <c r="P182" s="181"/>
    </row>
    <row r="183" spans="7:16">
      <c r="G183" s="181"/>
      <c r="H183" s="181"/>
      <c r="I183" s="181"/>
      <c r="J183" s="181"/>
      <c r="L183" s="181"/>
      <c r="M183" s="181"/>
      <c r="N183" s="181"/>
      <c r="O183" s="181"/>
      <c r="P183" s="181"/>
    </row>
    <row r="184" spans="7:16">
      <c r="G184" s="181"/>
      <c r="H184" s="181"/>
      <c r="I184" s="181"/>
      <c r="J184" s="181"/>
      <c r="L184" s="181"/>
      <c r="M184" s="181"/>
      <c r="N184" s="181"/>
      <c r="O184" s="181"/>
      <c r="P184" s="181"/>
    </row>
    <row r="185" spans="7:16">
      <c r="G185" s="181"/>
      <c r="H185" s="181"/>
      <c r="I185" s="181"/>
      <c r="J185" s="181"/>
      <c r="L185" s="181"/>
      <c r="M185" s="181"/>
      <c r="N185" s="181"/>
      <c r="O185" s="181"/>
      <c r="P185" s="181"/>
    </row>
    <row r="186" spans="7:16">
      <c r="G186" s="181"/>
      <c r="H186" s="181"/>
      <c r="I186" s="181"/>
      <c r="J186" s="181"/>
      <c r="L186" s="181"/>
      <c r="M186" s="181"/>
      <c r="N186" s="181"/>
      <c r="O186" s="181"/>
      <c r="P186" s="181"/>
    </row>
    <row r="187" spans="7:16">
      <c r="G187" s="181"/>
      <c r="H187" s="181"/>
      <c r="I187" s="181"/>
      <c r="J187" s="181"/>
      <c r="L187" s="181"/>
      <c r="M187" s="181"/>
      <c r="N187" s="181"/>
      <c r="O187" s="181"/>
      <c r="P187" s="181"/>
    </row>
    <row r="188" spans="7:16">
      <c r="G188" s="181"/>
      <c r="H188" s="181"/>
      <c r="I188" s="181"/>
      <c r="J188" s="181"/>
      <c r="L188" s="181"/>
      <c r="M188" s="181"/>
      <c r="N188" s="181"/>
      <c r="O188" s="181"/>
      <c r="P188" s="181"/>
    </row>
    <row r="189" spans="7:16">
      <c r="G189" s="181"/>
      <c r="H189" s="181"/>
      <c r="I189" s="181"/>
      <c r="J189" s="181"/>
      <c r="L189" s="181"/>
      <c r="M189" s="181"/>
      <c r="N189" s="181"/>
      <c r="O189" s="181"/>
      <c r="P189" s="181"/>
    </row>
    <row r="190" spans="7:16">
      <c r="G190" s="181"/>
      <c r="H190" s="181"/>
      <c r="I190" s="181"/>
      <c r="J190" s="181"/>
      <c r="L190" s="181"/>
      <c r="M190" s="181"/>
      <c r="N190" s="181"/>
      <c r="O190" s="181"/>
      <c r="P190" s="181"/>
    </row>
    <row r="191" spans="7:16">
      <c r="G191" s="181"/>
      <c r="H191" s="181"/>
      <c r="I191" s="181"/>
      <c r="J191" s="181"/>
      <c r="L191" s="181"/>
      <c r="M191" s="181"/>
      <c r="N191" s="181"/>
      <c r="O191" s="181"/>
      <c r="P191" s="181"/>
    </row>
    <row r="192" spans="7:16">
      <c r="G192" s="181"/>
      <c r="H192" s="181"/>
      <c r="I192" s="181"/>
      <c r="J192" s="181"/>
      <c r="L192" s="181"/>
      <c r="M192" s="181"/>
      <c r="N192" s="181"/>
      <c r="O192" s="181"/>
      <c r="P192" s="181"/>
    </row>
    <row r="193" spans="7:16">
      <c r="G193" s="181"/>
      <c r="H193" s="181"/>
      <c r="I193" s="181"/>
      <c r="J193" s="181"/>
      <c r="L193" s="181"/>
      <c r="M193" s="181"/>
      <c r="N193" s="181"/>
      <c r="O193" s="181"/>
      <c r="P193" s="181"/>
    </row>
    <row r="194" spans="7:16">
      <c r="G194" s="181"/>
      <c r="H194" s="181"/>
      <c r="I194" s="181"/>
      <c r="J194" s="181"/>
      <c r="L194" s="181"/>
      <c r="M194" s="181"/>
      <c r="N194" s="181"/>
      <c r="O194" s="181"/>
      <c r="P194" s="181"/>
    </row>
    <row r="195" spans="7:16">
      <c r="G195" s="181"/>
      <c r="H195" s="181"/>
      <c r="I195" s="181"/>
      <c r="J195" s="181"/>
      <c r="L195" s="181"/>
      <c r="M195" s="181"/>
      <c r="N195" s="181"/>
      <c r="O195" s="181"/>
      <c r="P195" s="181"/>
    </row>
    <row r="196" spans="7:16">
      <c r="G196" s="181"/>
      <c r="H196" s="181"/>
      <c r="I196" s="181"/>
      <c r="J196" s="181"/>
      <c r="L196" s="181"/>
      <c r="M196" s="181"/>
      <c r="N196" s="181"/>
      <c r="O196" s="181"/>
      <c r="P196" s="181"/>
    </row>
    <row r="197" spans="7:16">
      <c r="G197" s="181"/>
      <c r="H197" s="181"/>
      <c r="I197" s="181"/>
      <c r="J197" s="181"/>
      <c r="L197" s="181"/>
      <c r="M197" s="181"/>
      <c r="N197" s="181"/>
      <c r="O197" s="181"/>
      <c r="P197" s="181"/>
    </row>
    <row r="198" spans="7:16">
      <c r="G198" s="181"/>
      <c r="H198" s="181"/>
      <c r="I198" s="181"/>
      <c r="J198" s="181"/>
      <c r="L198" s="181"/>
      <c r="M198" s="181"/>
      <c r="N198" s="181"/>
      <c r="O198" s="181"/>
      <c r="P198" s="181"/>
    </row>
    <row r="199" spans="7:16">
      <c r="G199" s="181"/>
      <c r="H199" s="181"/>
      <c r="I199" s="181"/>
      <c r="J199" s="181"/>
      <c r="L199" s="181"/>
      <c r="M199" s="181"/>
      <c r="N199" s="181"/>
      <c r="O199" s="181"/>
      <c r="P199" s="181"/>
    </row>
    <row r="200" spans="7:16">
      <c r="G200" s="181"/>
      <c r="H200" s="181"/>
      <c r="I200" s="181"/>
      <c r="J200" s="181"/>
      <c r="L200" s="181"/>
      <c r="M200" s="181"/>
      <c r="N200" s="181"/>
      <c r="O200" s="181"/>
      <c r="P200" s="181"/>
    </row>
    <row r="201" spans="7:16">
      <c r="G201" s="181"/>
      <c r="H201" s="181"/>
      <c r="I201" s="181"/>
      <c r="J201" s="181"/>
      <c r="L201" s="181"/>
      <c r="M201" s="181"/>
      <c r="N201" s="181"/>
      <c r="O201" s="181"/>
      <c r="P201" s="181"/>
    </row>
    <row r="202" spans="7:16">
      <c r="G202" s="181"/>
      <c r="H202" s="181"/>
      <c r="I202" s="181"/>
      <c r="J202" s="181"/>
      <c r="L202" s="181"/>
      <c r="M202" s="181"/>
      <c r="N202" s="181"/>
      <c r="O202" s="181"/>
      <c r="P202" s="181"/>
    </row>
    <row r="203" spans="7:16">
      <c r="G203" s="181"/>
      <c r="H203" s="181"/>
      <c r="I203" s="181"/>
      <c r="J203" s="181"/>
      <c r="L203" s="181"/>
      <c r="M203" s="181"/>
      <c r="N203" s="181"/>
      <c r="O203" s="181"/>
      <c r="P203" s="181"/>
    </row>
    <row r="204" spans="7:16">
      <c r="G204" s="181"/>
      <c r="H204" s="181"/>
      <c r="I204" s="181"/>
      <c r="J204" s="181"/>
      <c r="L204" s="181"/>
      <c r="M204" s="181"/>
      <c r="N204" s="181"/>
      <c r="O204" s="181"/>
      <c r="P204" s="181"/>
    </row>
    <row r="205" spans="7:16">
      <c r="G205" s="181"/>
      <c r="H205" s="181"/>
      <c r="I205" s="181"/>
      <c r="J205" s="181"/>
      <c r="L205" s="181"/>
      <c r="M205" s="181"/>
      <c r="N205" s="181"/>
      <c r="O205" s="181"/>
      <c r="P205" s="181"/>
    </row>
    <row r="206" spans="7:16">
      <c r="G206" s="181"/>
      <c r="H206" s="181"/>
      <c r="I206" s="181"/>
      <c r="J206" s="181"/>
      <c r="L206" s="181"/>
      <c r="M206" s="181"/>
      <c r="N206" s="181"/>
      <c r="O206" s="181"/>
      <c r="P206" s="181"/>
    </row>
    <row r="207" spans="7:16">
      <c r="G207" s="181"/>
      <c r="H207" s="181"/>
      <c r="I207" s="181"/>
      <c r="J207" s="181"/>
      <c r="L207" s="181"/>
      <c r="M207" s="181"/>
      <c r="N207" s="181"/>
      <c r="O207" s="181"/>
      <c r="P207" s="181"/>
    </row>
    <row r="208" spans="7:16">
      <c r="G208" s="181"/>
      <c r="H208" s="181"/>
      <c r="I208" s="181"/>
      <c r="J208" s="181"/>
      <c r="L208" s="181"/>
      <c r="M208" s="181"/>
      <c r="N208" s="181"/>
      <c r="O208" s="181"/>
      <c r="P208" s="181"/>
    </row>
    <row r="209" spans="7:16">
      <c r="G209" s="181"/>
      <c r="H209" s="181"/>
      <c r="I209" s="181"/>
      <c r="J209" s="181"/>
      <c r="L209" s="181"/>
      <c r="M209" s="181"/>
      <c r="N209" s="181"/>
      <c r="O209" s="181"/>
      <c r="P209" s="181"/>
    </row>
    <row r="210" spans="7:16">
      <c r="G210" s="181"/>
      <c r="H210" s="181"/>
      <c r="I210" s="181"/>
      <c r="J210" s="181"/>
      <c r="L210" s="181"/>
      <c r="M210" s="181"/>
      <c r="N210" s="181"/>
      <c r="O210" s="181"/>
      <c r="P210" s="181"/>
    </row>
    <row r="211" spans="7:16">
      <c r="G211" s="181"/>
      <c r="H211" s="181"/>
      <c r="I211" s="181"/>
      <c r="J211" s="181"/>
      <c r="L211" s="181"/>
      <c r="M211" s="181"/>
      <c r="N211" s="181"/>
      <c r="O211" s="181"/>
      <c r="P211" s="181"/>
    </row>
    <row r="212" spans="7:16">
      <c r="G212" s="181"/>
      <c r="H212" s="181"/>
      <c r="I212" s="181"/>
      <c r="J212" s="181"/>
      <c r="L212" s="181"/>
      <c r="M212" s="181"/>
      <c r="N212" s="181"/>
      <c r="O212" s="181"/>
      <c r="P212" s="181"/>
    </row>
    <row r="213" spans="7:16">
      <c r="G213" s="181"/>
      <c r="H213" s="181"/>
      <c r="I213" s="181"/>
      <c r="J213" s="181"/>
      <c r="L213" s="181"/>
      <c r="M213" s="181"/>
      <c r="N213" s="181"/>
      <c r="O213" s="181"/>
      <c r="P213" s="181"/>
    </row>
    <row r="214" spans="7:16">
      <c r="G214" s="181"/>
      <c r="H214" s="181"/>
      <c r="L214" s="181"/>
      <c r="M214" s="181"/>
      <c r="N214" s="181"/>
      <c r="O214" s="181"/>
      <c r="P214" s="181"/>
    </row>
    <row r="215" spans="7:16">
      <c r="L215" s="181"/>
      <c r="M215" s="181"/>
      <c r="N215" s="181"/>
      <c r="O215" s="181"/>
      <c r="P215" s="181"/>
    </row>
    <row r="216" spans="7:16">
      <c r="L216" s="181"/>
      <c r="M216" s="181"/>
      <c r="N216" s="181"/>
      <c r="O216" s="181"/>
      <c r="P216" s="181"/>
    </row>
    <row r="217" spans="7:16">
      <c r="L217" s="181"/>
      <c r="M217" s="181"/>
      <c r="N217" s="181"/>
    </row>
    <row r="218" spans="7:16">
      <c r="L218" s="181"/>
      <c r="M218" s="181"/>
      <c r="N218" s="181"/>
    </row>
    <row r="219" spans="7:16">
      <c r="L219" s="181"/>
      <c r="M219" s="181"/>
      <c r="N219" s="181"/>
    </row>
  </sheetData>
  <mergeCells count="19">
    <mergeCell ref="E52:F52"/>
    <mergeCell ref="I45:I46"/>
    <mergeCell ref="B20:I20"/>
    <mergeCell ref="E21:I21"/>
    <mergeCell ref="B26:I26"/>
    <mergeCell ref="B33:I33"/>
    <mergeCell ref="B40:I40"/>
    <mergeCell ref="B48:C51"/>
    <mergeCell ref="E48:F48"/>
    <mergeCell ref="E49:F49"/>
    <mergeCell ref="E50:F50"/>
    <mergeCell ref="E51:F51"/>
    <mergeCell ref="K20:O20"/>
    <mergeCell ref="K25:K26"/>
    <mergeCell ref="L25:L26"/>
    <mergeCell ref="M21:N21"/>
    <mergeCell ref="M22:N22"/>
    <mergeCell ref="M23:N23"/>
    <mergeCell ref="M24:N24"/>
  </mergeCells>
  <conditionalFormatting sqref="H24">
    <cfRule type="expression" dxfId="9" priority="25">
      <formula>$H$24</formula>
    </cfRule>
    <cfRule type="colorScale" priority="26">
      <colorScale>
        <cfvo type="min"/>
        <cfvo type="percentile" val="50"/>
        <cfvo type="max"/>
        <color rgb="FFF8696B"/>
        <color rgb="FFFFEB84"/>
        <color rgb="FF63BE7B"/>
      </colorScale>
    </cfRule>
    <cfRule type="expression" dxfId="8" priority="27">
      <formula>$H$24</formula>
    </cfRule>
    <cfRule type="expression" dxfId="7" priority="28">
      <formula>$H$24</formula>
    </cfRule>
  </conditionalFormatting>
  <conditionalFormatting sqref="H30">
    <cfRule type="expression" dxfId="6" priority="14">
      <formula>$H$30</formula>
    </cfRule>
  </conditionalFormatting>
  <conditionalFormatting sqref="H37">
    <cfRule type="expression" dxfId="5" priority="12">
      <formula>$H$37</formula>
    </cfRule>
  </conditionalFormatting>
  <conditionalFormatting sqref="H44">
    <cfRule type="expression" dxfId="4" priority="11">
      <formula>$H$44</formula>
    </cfRule>
    <cfRule type="expression" dxfId="3" priority="15">
      <formula>$H$44</formula>
    </cfRule>
    <cfRule type="expression" dxfId="2" priority="16">
      <formula>$H$44</formula>
    </cfRule>
  </conditionalFormatting>
  <conditionalFormatting sqref="O22:O26">
    <cfRule type="containsText" dxfId="1" priority="1" operator="containsText" text="FALSE">
      <formula>NOT(ISERROR(SEARCH("FALSE",O22)))</formula>
    </cfRule>
    <cfRule type="containsText" dxfId="0" priority="2" operator="containsText" text="TRUE">
      <formula>NOT(ISERROR(SEARCH("TRUE",O22)))</formula>
    </cfRule>
  </conditionalFormatting>
  <dataValidations count="1">
    <dataValidation type="list" allowBlank="1" showInputMessage="1" showErrorMessage="1" sqref="C16" xr:uid="{1D65039A-A252-4F45-9517-B9F61D52947F}">
      <formula1>$U$3:$U$4</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2058" r:id="rId4" name="ComboBox1">
          <controlPr locked="0" autoLine="0" linkedCell="T5" listFillRange="T3:T4" r:id="rId5">
            <anchor moveWithCells="1">
              <from>
                <xdr:col>2</xdr:col>
                <xdr:colOff>9525</xdr:colOff>
                <xdr:row>16</xdr:row>
                <xdr:rowOff>0</xdr:rowOff>
              </from>
              <to>
                <xdr:col>5</xdr:col>
                <xdr:colOff>19050</xdr:colOff>
                <xdr:row>17</xdr:row>
                <xdr:rowOff>9525</xdr:rowOff>
              </to>
            </anchor>
          </controlPr>
        </control>
      </mc:Choice>
      <mc:Fallback>
        <control shapeId="2058" r:id="rId4" name="ComboBox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1"/>
  <dimension ref="A1:L20"/>
  <sheetViews>
    <sheetView showGridLines="0" zoomScaleNormal="100" workbookViewId="0"/>
  </sheetViews>
  <sheetFormatPr defaultRowHeight="12.75"/>
  <cols>
    <col min="1" max="1" width="22" style="92" customWidth="1"/>
    <col min="2" max="2" width="16.42578125" style="92" customWidth="1"/>
    <col min="3" max="10" width="9.140625" style="92"/>
    <col min="11" max="11" width="23.42578125" style="92" customWidth="1"/>
    <col min="12" max="12" width="11.140625" style="92" customWidth="1"/>
    <col min="13" max="13" width="16.85546875" style="92" customWidth="1"/>
    <col min="14" max="14" width="10.5703125" style="92" customWidth="1"/>
    <col min="15" max="15" width="0" style="92" hidden="1" customWidth="1"/>
    <col min="16" max="16384" width="9.140625" style="92"/>
  </cols>
  <sheetData>
    <row r="1" spans="1:12">
      <c r="A1" s="92" t="s">
        <v>110</v>
      </c>
    </row>
    <row r="2" spans="1:12" ht="12.75" customHeight="1">
      <c r="A2" s="331" t="s">
        <v>111</v>
      </c>
      <c r="B2" s="304"/>
      <c r="C2" s="304"/>
      <c r="D2" s="304"/>
      <c r="E2" s="304"/>
      <c r="F2" s="304"/>
      <c r="G2" s="304"/>
      <c r="H2" s="304"/>
      <c r="I2" s="304"/>
      <c r="J2" s="304"/>
      <c r="K2" s="304"/>
      <c r="L2" s="304"/>
    </row>
    <row r="3" spans="1:12" ht="15">
      <c r="A3" s="305" t="s">
        <v>112</v>
      </c>
      <c r="B3" s="304"/>
      <c r="C3" s="304"/>
      <c r="D3" s="304"/>
      <c r="E3" s="304"/>
      <c r="F3" s="304"/>
      <c r="G3" s="304"/>
      <c r="H3" s="304"/>
      <c r="I3" s="304"/>
      <c r="J3" s="304"/>
      <c r="K3" s="304"/>
      <c r="L3" s="304"/>
    </row>
    <row r="4" spans="1:12">
      <c r="A4" s="304"/>
      <c r="B4" s="304"/>
      <c r="C4" s="304"/>
      <c r="D4" s="304"/>
      <c r="E4" s="304"/>
      <c r="F4" s="304"/>
      <c r="G4" s="304"/>
      <c r="H4" s="304"/>
      <c r="I4" s="304"/>
      <c r="J4" s="304"/>
      <c r="K4" s="304"/>
      <c r="L4" s="304"/>
    </row>
    <row r="5" spans="1:12">
      <c r="A5" s="304"/>
      <c r="B5" s="304"/>
      <c r="C5" s="304"/>
      <c r="D5" s="304"/>
      <c r="E5" s="304"/>
      <c r="F5" s="304"/>
      <c r="G5" s="304"/>
      <c r="H5" s="304"/>
      <c r="I5" s="304"/>
      <c r="J5" s="304"/>
      <c r="K5" s="304"/>
      <c r="L5" s="304"/>
    </row>
    <row r="6" spans="1:12">
      <c r="A6" s="304"/>
      <c r="B6" s="304"/>
      <c r="C6" s="304"/>
      <c r="D6" s="304"/>
      <c r="E6" s="304"/>
      <c r="F6" s="304"/>
      <c r="G6" s="304"/>
      <c r="H6" s="304"/>
      <c r="I6" s="304"/>
      <c r="J6" s="304"/>
      <c r="K6" s="304"/>
      <c r="L6" s="304"/>
    </row>
    <row r="7" spans="1:12">
      <c r="A7" s="304"/>
      <c r="B7" s="304"/>
      <c r="C7" s="304"/>
      <c r="D7" s="304"/>
      <c r="E7" s="304"/>
      <c r="F7" s="304"/>
      <c r="G7" s="304"/>
      <c r="H7" s="304"/>
      <c r="I7" s="304"/>
      <c r="J7" s="304"/>
      <c r="K7" s="304"/>
      <c r="L7" s="304"/>
    </row>
    <row r="8" spans="1:12">
      <c r="A8" s="304"/>
      <c r="B8" s="304"/>
      <c r="C8" s="304"/>
      <c r="D8" s="304"/>
      <c r="E8" s="304"/>
      <c r="F8" s="304"/>
      <c r="G8" s="304"/>
      <c r="H8" s="304"/>
      <c r="I8" s="304"/>
      <c r="J8" s="304"/>
      <c r="K8" s="304"/>
      <c r="L8" s="304"/>
    </row>
    <row r="9" spans="1:12">
      <c r="A9" s="304"/>
      <c r="B9" s="304"/>
      <c r="C9" s="304"/>
      <c r="D9" s="304"/>
      <c r="E9" s="304"/>
      <c r="F9" s="304"/>
      <c r="G9" s="304"/>
      <c r="H9" s="304"/>
      <c r="I9" s="304"/>
      <c r="J9" s="304"/>
      <c r="K9" s="304"/>
      <c r="L9" s="304"/>
    </row>
    <row r="10" spans="1:12">
      <c r="A10" s="304"/>
      <c r="B10" s="304"/>
      <c r="C10" s="304"/>
      <c r="D10" s="304"/>
      <c r="E10" s="304"/>
      <c r="F10" s="304"/>
      <c r="G10" s="304"/>
      <c r="H10" s="304"/>
      <c r="I10" s="304"/>
      <c r="J10" s="304"/>
      <c r="K10" s="304"/>
      <c r="L10" s="304"/>
    </row>
    <row r="11" spans="1:12">
      <c r="A11" s="304"/>
      <c r="B11" s="304"/>
      <c r="C11" s="304"/>
      <c r="D11" s="304"/>
      <c r="E11" s="304"/>
      <c r="F11" s="304"/>
      <c r="G11" s="304"/>
      <c r="H11" s="304"/>
      <c r="I11" s="304"/>
      <c r="J11" s="304"/>
      <c r="K11" s="304"/>
      <c r="L11" s="304"/>
    </row>
    <row r="12" spans="1:12">
      <c r="A12" s="304"/>
      <c r="B12" s="304"/>
      <c r="C12" s="304"/>
      <c r="D12" s="304"/>
      <c r="E12" s="304"/>
      <c r="F12" s="304"/>
      <c r="G12" s="304"/>
      <c r="H12" s="304"/>
      <c r="I12" s="304"/>
      <c r="J12" s="304"/>
      <c r="K12" s="304"/>
      <c r="L12" s="304"/>
    </row>
    <row r="13" spans="1:12">
      <c r="A13" s="304"/>
      <c r="B13" s="304"/>
      <c r="C13" s="304"/>
      <c r="D13" s="304"/>
      <c r="E13" s="304"/>
      <c r="F13" s="304"/>
      <c r="G13" s="304"/>
      <c r="H13" s="304"/>
      <c r="I13" s="304"/>
      <c r="J13" s="304"/>
      <c r="K13" s="304"/>
      <c r="L13" s="304"/>
    </row>
    <row r="14" spans="1:12">
      <c r="A14" s="304"/>
      <c r="B14" s="304"/>
      <c r="C14" s="304"/>
      <c r="D14" s="304"/>
      <c r="E14" s="304"/>
      <c r="F14" s="304"/>
      <c r="G14" s="304"/>
      <c r="H14" s="304"/>
      <c r="I14" s="304"/>
      <c r="J14" s="304"/>
      <c r="K14" s="304"/>
      <c r="L14" s="304"/>
    </row>
    <row r="15" spans="1:12">
      <c r="A15" s="304"/>
      <c r="B15" s="304"/>
      <c r="C15" s="304"/>
      <c r="D15" s="304"/>
      <c r="E15" s="304"/>
      <c r="F15" s="304"/>
      <c r="G15" s="304"/>
      <c r="H15" s="304"/>
      <c r="I15" s="304"/>
      <c r="J15" s="304"/>
      <c r="K15" s="304"/>
      <c r="L15" s="304"/>
    </row>
    <row r="16" spans="1:12">
      <c r="A16" s="304"/>
      <c r="B16" s="304"/>
      <c r="C16" s="304"/>
      <c r="D16" s="304"/>
      <c r="E16" s="304"/>
      <c r="F16" s="304"/>
      <c r="G16" s="304"/>
      <c r="H16" s="304"/>
      <c r="I16" s="304"/>
      <c r="J16" s="304"/>
      <c r="K16" s="304"/>
      <c r="L16" s="304"/>
    </row>
    <row r="17" spans="1:12">
      <c r="A17" s="304"/>
      <c r="B17" s="304"/>
      <c r="C17" s="304"/>
      <c r="D17" s="304"/>
      <c r="E17" s="304"/>
      <c r="F17" s="304"/>
      <c r="G17" s="304"/>
      <c r="H17" s="304"/>
      <c r="I17" s="304"/>
      <c r="J17" s="304"/>
      <c r="K17" s="304"/>
      <c r="L17" s="304"/>
    </row>
    <row r="18" spans="1:12">
      <c r="A18" s="304"/>
      <c r="B18" s="304"/>
      <c r="C18" s="304"/>
      <c r="D18" s="304"/>
      <c r="E18" s="304"/>
      <c r="F18" s="304"/>
      <c r="G18" s="304"/>
      <c r="H18" s="304"/>
      <c r="I18" s="304"/>
      <c r="J18" s="304"/>
      <c r="K18" s="304"/>
      <c r="L18" s="304"/>
    </row>
    <row r="19" spans="1:12">
      <c r="A19" s="304"/>
      <c r="B19" s="304"/>
      <c r="C19" s="304"/>
      <c r="D19" s="304"/>
      <c r="E19" s="304"/>
      <c r="F19" s="304"/>
      <c r="G19" s="304"/>
      <c r="H19" s="304"/>
      <c r="I19" s="304"/>
      <c r="J19" s="304"/>
      <c r="K19" s="304"/>
      <c r="L19" s="304"/>
    </row>
    <row r="20" spans="1:12">
      <c r="A20" s="304"/>
      <c r="B20" s="304"/>
      <c r="C20" s="304"/>
      <c r="D20" s="304"/>
      <c r="E20" s="304"/>
      <c r="F20" s="304"/>
      <c r="G20" s="304"/>
      <c r="H20" s="304"/>
      <c r="I20" s="304"/>
      <c r="J20" s="304"/>
      <c r="K20" s="304"/>
      <c r="L20" s="304"/>
    </row>
  </sheetData>
  <customSheetViews>
    <customSheetView guid="{9848CDF3-FB2E-4554-B4A7-C95534E565E0}">
      <selection activeCell="N27" sqref="N27"/>
      <pageMargins left="0" right="0" top="0" bottom="0" header="0" footer="0"/>
      <pageSetup orientation="portrait" r:id="rId1"/>
    </customSheetView>
  </customSheetView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GM93"/>
  <sheetViews>
    <sheetView topLeftCell="AO1" zoomScale="75" zoomScaleNormal="75" workbookViewId="0">
      <selection activeCell="AO48" sqref="AO48"/>
    </sheetView>
  </sheetViews>
  <sheetFormatPr defaultRowHeight="15.75"/>
  <cols>
    <col min="1" max="1" width="13.5703125" style="100" hidden="1" customWidth="1"/>
    <col min="2" max="2" width="14.42578125" style="100" hidden="1" customWidth="1"/>
    <col min="3" max="3" width="39.140625" style="100" bestFit="1" customWidth="1"/>
    <col min="4" max="4" width="29" style="100" customWidth="1"/>
    <col min="5" max="5" width="17.42578125" style="100" hidden="1" customWidth="1"/>
    <col min="6" max="6" width="12.28515625" style="100" hidden="1" customWidth="1"/>
    <col min="7" max="7" width="28.28515625" style="100" hidden="1" customWidth="1"/>
    <col min="8" max="8" width="45" style="100" hidden="1" customWidth="1"/>
    <col min="9" max="9" width="16.140625" style="100" hidden="1" customWidth="1"/>
    <col min="10" max="10" width="21.5703125" style="100" hidden="1" customWidth="1"/>
    <col min="11" max="11" width="23.7109375" style="100" hidden="1" customWidth="1"/>
    <col min="12" max="12" width="17.140625" style="100" hidden="1" customWidth="1"/>
    <col min="13" max="13" width="17.42578125" style="100" hidden="1" customWidth="1"/>
    <col min="14" max="14" width="20.28515625" style="100" hidden="1" customWidth="1"/>
    <col min="15" max="15" width="14.140625" style="100" hidden="1" customWidth="1"/>
    <col min="16" max="16" width="13.140625" style="100" hidden="1" customWidth="1"/>
    <col min="17" max="17" width="14.42578125" style="100" hidden="1" customWidth="1"/>
    <col min="18" max="18" width="11.42578125" style="100" hidden="1" customWidth="1"/>
    <col min="19" max="19" width="104.85546875" style="100" hidden="1" customWidth="1"/>
    <col min="20" max="20" width="26.42578125" style="174" bestFit="1" customWidth="1"/>
    <col min="21" max="21" width="24.7109375" style="174" bestFit="1" customWidth="1"/>
    <col min="22" max="22" width="25.85546875" style="100" hidden="1" customWidth="1"/>
    <col min="23" max="23" width="10.5703125" style="100" hidden="1" customWidth="1"/>
    <col min="24" max="24" width="20.5703125" style="174" bestFit="1" customWidth="1"/>
    <col min="25" max="25" width="19.140625" style="100" hidden="1" customWidth="1"/>
    <col min="26" max="26" width="23" style="100" hidden="1" customWidth="1"/>
    <col min="27" max="27" width="21.5703125" style="174" bestFit="1" customWidth="1"/>
    <col min="28" max="28" width="17.28515625" style="100" hidden="1" customWidth="1"/>
    <col min="29" max="30" width="15.28515625" style="100" hidden="1" customWidth="1"/>
    <col min="31" max="31" width="16.85546875" style="100" hidden="1" customWidth="1"/>
    <col min="32" max="32" width="17.7109375" style="174" bestFit="1" customWidth="1"/>
    <col min="33" max="33" width="12.85546875" style="100" hidden="1" customWidth="1"/>
    <col min="34" max="34" width="25.28515625" style="100" hidden="1" customWidth="1"/>
    <col min="35" max="35" width="26.28515625" style="100" hidden="1" customWidth="1"/>
    <col min="36" max="36" width="10.5703125" style="100" hidden="1" customWidth="1"/>
    <col min="37" max="37" width="11.5703125" style="172" bestFit="1" customWidth="1"/>
    <col min="38" max="38" width="16" style="175" bestFit="1" customWidth="1"/>
    <col min="39" max="39" width="11.5703125" style="175" bestFit="1" customWidth="1"/>
    <col min="40" max="40" width="12.5703125" style="175" bestFit="1" customWidth="1"/>
    <col min="41" max="41" width="9.140625" style="100" customWidth="1"/>
    <col min="42" max="42" width="17.42578125" style="138" customWidth="1"/>
    <col min="43" max="43" width="19.42578125" style="100" bestFit="1" customWidth="1"/>
    <col min="44" max="45" width="11.5703125" style="100" bestFit="1" customWidth="1"/>
    <col min="46" max="46" width="16.140625" style="100" bestFit="1" customWidth="1"/>
    <col min="47" max="47" width="11.5703125" style="100" bestFit="1" customWidth="1"/>
    <col min="48" max="48" width="12.140625" style="100" bestFit="1" customWidth="1"/>
    <col min="49" max="49" width="11.5703125" style="100" bestFit="1" customWidth="1"/>
    <col min="50" max="50" width="12.7109375" style="100" bestFit="1" customWidth="1"/>
    <col min="51" max="53" width="10.28515625" style="100" customWidth="1"/>
    <col min="54" max="54" width="9.28515625" style="100" customWidth="1"/>
    <col min="55" max="55" width="9.140625" style="100"/>
    <col min="56" max="56" width="13.28515625" style="100" bestFit="1" customWidth="1"/>
    <col min="57" max="57" width="11.5703125" style="100" bestFit="1" customWidth="1"/>
    <col min="58" max="58" width="12.140625" style="100" bestFit="1" customWidth="1"/>
    <col min="59" max="63" width="11.5703125" style="100" bestFit="1" customWidth="1"/>
    <col min="64" max="16384" width="9.140625" style="100"/>
  </cols>
  <sheetData>
    <row r="1" spans="1:195" s="102" customFormat="1">
      <c r="T1" s="103"/>
      <c r="U1" s="103"/>
      <c r="X1" s="103"/>
      <c r="AA1" s="103"/>
      <c r="AF1" s="103"/>
      <c r="AK1" s="104"/>
      <c r="AL1" s="316"/>
      <c r="AM1" s="316"/>
      <c r="AN1" s="316"/>
      <c r="AP1" s="105"/>
    </row>
    <row r="2" spans="1:195" s="102" customFormat="1">
      <c r="T2" s="103"/>
      <c r="U2" s="103"/>
      <c r="X2" s="103"/>
      <c r="AA2" s="103"/>
      <c r="AF2" s="103"/>
      <c r="AK2" s="104"/>
      <c r="AL2" s="316"/>
      <c r="AM2" s="316"/>
      <c r="AN2" s="316"/>
      <c r="AP2" s="105"/>
    </row>
    <row r="3" spans="1:195" s="102" customFormat="1" ht="12.75" customHeight="1">
      <c r="C3" s="106" t="s">
        <v>113</v>
      </c>
      <c r="D3" s="107"/>
      <c r="G3" s="108" t="s">
        <v>114</v>
      </c>
      <c r="H3" s="108" t="s">
        <v>115</v>
      </c>
      <c r="I3" s="108" t="s">
        <v>116</v>
      </c>
      <c r="J3" s="108" t="s">
        <v>117</v>
      </c>
      <c r="K3" s="108" t="s">
        <v>118</v>
      </c>
      <c r="L3" s="108" t="s">
        <v>119</v>
      </c>
      <c r="M3" s="108" t="s">
        <v>120</v>
      </c>
      <c r="N3" s="108" t="s">
        <v>120</v>
      </c>
      <c r="O3" s="108" t="s">
        <v>121</v>
      </c>
      <c r="P3" s="108" t="s">
        <v>116</v>
      </c>
      <c r="Q3" s="108" t="s">
        <v>122</v>
      </c>
      <c r="R3" s="108" t="s">
        <v>116</v>
      </c>
      <c r="S3" s="108" t="s">
        <v>123</v>
      </c>
      <c r="T3" s="109" t="s">
        <v>124</v>
      </c>
      <c r="U3" s="109" t="s">
        <v>125</v>
      </c>
      <c r="V3" s="107"/>
      <c r="W3" s="108" t="s">
        <v>122</v>
      </c>
      <c r="X3" s="109" t="s">
        <v>126</v>
      </c>
      <c r="Y3" s="108" t="s">
        <v>127</v>
      </c>
      <c r="Z3" s="108" t="s">
        <v>128</v>
      </c>
      <c r="AA3" s="109" t="s">
        <v>129</v>
      </c>
      <c r="AB3" s="108" t="s">
        <v>125</v>
      </c>
      <c r="AC3" s="108" t="s">
        <v>122</v>
      </c>
      <c r="AD3" s="108" t="s">
        <v>122</v>
      </c>
      <c r="AE3" s="108" t="s">
        <v>122</v>
      </c>
      <c r="AF3" s="109" t="s">
        <v>125</v>
      </c>
      <c r="AG3" s="108" t="s">
        <v>128</v>
      </c>
      <c r="AH3" s="108" t="s">
        <v>122</v>
      </c>
      <c r="AI3" s="108" t="s">
        <v>121</v>
      </c>
      <c r="AJ3" s="107"/>
      <c r="AK3" s="357" t="s">
        <v>130</v>
      </c>
      <c r="AL3" s="357"/>
      <c r="AM3" s="357"/>
      <c r="AN3" s="316"/>
      <c r="AP3" s="105"/>
    </row>
    <row r="4" spans="1:195" s="102" customFormat="1" ht="47.25" hidden="1">
      <c r="A4" s="110"/>
      <c r="B4" s="107" t="s">
        <v>131</v>
      </c>
      <c r="C4" s="108" t="s">
        <v>132</v>
      </c>
      <c r="D4" s="108" t="s">
        <v>133</v>
      </c>
      <c r="E4" s="111" t="s">
        <v>134</v>
      </c>
      <c r="F4" s="111" t="s">
        <v>135</v>
      </c>
      <c r="G4" s="111" t="s">
        <v>136</v>
      </c>
      <c r="H4" s="111" t="s">
        <v>137</v>
      </c>
      <c r="I4" s="111" t="s">
        <v>138</v>
      </c>
      <c r="J4" s="111" t="s">
        <v>139</v>
      </c>
      <c r="K4" s="111" t="s">
        <v>140</v>
      </c>
      <c r="L4" s="111" t="s">
        <v>141</v>
      </c>
      <c r="M4" s="111" t="s">
        <v>142</v>
      </c>
      <c r="N4" s="111" t="s">
        <v>143</v>
      </c>
      <c r="O4" s="111" t="s">
        <v>144</v>
      </c>
      <c r="P4" s="111" t="s">
        <v>145</v>
      </c>
      <c r="Q4" s="111" t="s">
        <v>146</v>
      </c>
      <c r="R4" s="111" t="s">
        <v>147</v>
      </c>
      <c r="S4" s="111" t="s">
        <v>148</v>
      </c>
      <c r="T4" s="112" t="s">
        <v>149</v>
      </c>
      <c r="U4" s="112" t="s">
        <v>150</v>
      </c>
      <c r="V4" s="111" t="s">
        <v>151</v>
      </c>
      <c r="W4" s="111" t="s">
        <v>152</v>
      </c>
      <c r="X4" s="112" t="s">
        <v>153</v>
      </c>
      <c r="Y4" s="111" t="s">
        <v>154</v>
      </c>
      <c r="Z4" s="111" t="s">
        <v>155</v>
      </c>
      <c r="AA4" s="112" t="s">
        <v>156</v>
      </c>
      <c r="AB4" s="111" t="s">
        <v>157</v>
      </c>
      <c r="AC4" s="111" t="s">
        <v>158</v>
      </c>
      <c r="AD4" s="111" t="s">
        <v>159</v>
      </c>
      <c r="AE4" s="111" t="s">
        <v>160</v>
      </c>
      <c r="AF4" s="112" t="s">
        <v>161</v>
      </c>
      <c r="AG4" s="111" t="s">
        <v>162</v>
      </c>
      <c r="AH4" s="111" t="s">
        <v>163</v>
      </c>
      <c r="AI4" s="111" t="s">
        <v>164</v>
      </c>
      <c r="AJ4" s="111" t="s">
        <v>110</v>
      </c>
      <c r="AK4" s="113" t="s">
        <v>165</v>
      </c>
      <c r="AL4" s="114" t="s">
        <v>166</v>
      </c>
      <c r="AM4" s="114" t="s">
        <v>167</v>
      </c>
      <c r="AN4" s="114" t="s">
        <v>168</v>
      </c>
      <c r="AP4" s="105"/>
    </row>
    <row r="5" spans="1:195" s="102" customFormat="1" hidden="1">
      <c r="B5" s="107"/>
      <c r="C5" s="107"/>
      <c r="D5" s="107"/>
      <c r="E5" s="107"/>
      <c r="F5" s="107"/>
      <c r="G5" s="107"/>
      <c r="H5" s="107"/>
      <c r="I5" s="108" t="s">
        <v>169</v>
      </c>
      <c r="J5" s="108" t="s">
        <v>170</v>
      </c>
      <c r="K5" s="108" t="s">
        <v>171</v>
      </c>
      <c r="L5" s="108" t="s">
        <v>172</v>
      </c>
      <c r="M5" s="108" t="s">
        <v>173</v>
      </c>
      <c r="N5" s="108" t="s">
        <v>174</v>
      </c>
      <c r="O5" s="108" t="s">
        <v>175</v>
      </c>
      <c r="P5" s="108" t="s">
        <v>176</v>
      </c>
      <c r="Q5" s="108" t="s">
        <v>177</v>
      </c>
      <c r="R5" s="108" t="s">
        <v>178</v>
      </c>
      <c r="S5" s="107"/>
      <c r="T5" s="109" t="s">
        <v>179</v>
      </c>
      <c r="U5" s="109" t="s">
        <v>180</v>
      </c>
      <c r="V5" s="108" t="s">
        <v>181</v>
      </c>
      <c r="W5" s="107"/>
      <c r="X5" s="109" t="s">
        <v>182</v>
      </c>
      <c r="Y5" s="108" t="s">
        <v>183</v>
      </c>
      <c r="Z5" s="108" t="s">
        <v>184</v>
      </c>
      <c r="AA5" s="109" t="s">
        <v>185</v>
      </c>
      <c r="AB5" s="108" t="s">
        <v>186</v>
      </c>
      <c r="AC5" s="108" t="s">
        <v>186</v>
      </c>
      <c r="AD5" s="108" t="s">
        <v>186</v>
      </c>
      <c r="AE5" s="108" t="s">
        <v>187</v>
      </c>
      <c r="AF5" s="109" t="s">
        <v>188</v>
      </c>
      <c r="AG5" s="108" t="s">
        <v>188</v>
      </c>
      <c r="AH5" s="108" t="s">
        <v>188</v>
      </c>
      <c r="AI5" s="108" t="s">
        <v>189</v>
      </c>
      <c r="AJ5" s="107"/>
      <c r="AK5" s="104"/>
      <c r="AL5" s="316"/>
      <c r="AM5" s="316"/>
      <c r="AN5" s="316"/>
      <c r="AP5" s="105"/>
    </row>
    <row r="6" spans="1:195" s="102" customFormat="1" hidden="1">
      <c r="B6" s="107"/>
      <c r="C6" s="107"/>
      <c r="D6" s="107"/>
      <c r="E6" s="107"/>
      <c r="F6" s="107"/>
      <c r="G6" s="107"/>
      <c r="H6" s="107"/>
      <c r="I6" s="108" t="s">
        <v>190</v>
      </c>
      <c r="J6" s="108" t="s">
        <v>190</v>
      </c>
      <c r="K6" s="108" t="s">
        <v>190</v>
      </c>
      <c r="L6" s="108" t="s">
        <v>190</v>
      </c>
      <c r="M6" s="108" t="s">
        <v>191</v>
      </c>
      <c r="N6" s="108" t="s">
        <v>191</v>
      </c>
      <c r="O6" s="108" t="s">
        <v>190</v>
      </c>
      <c r="P6" s="108" t="s">
        <v>192</v>
      </c>
      <c r="Q6" s="108" t="s">
        <v>193</v>
      </c>
      <c r="R6" s="108" t="s">
        <v>194</v>
      </c>
      <c r="S6" s="107"/>
      <c r="T6" s="109" t="s">
        <v>192</v>
      </c>
      <c r="U6" s="109" t="s">
        <v>190</v>
      </c>
      <c r="V6" s="108" t="s">
        <v>195</v>
      </c>
      <c r="W6" s="108" t="s">
        <v>196</v>
      </c>
      <c r="X6" s="109" t="s">
        <v>190</v>
      </c>
      <c r="Y6" s="108" t="s">
        <v>190</v>
      </c>
      <c r="Z6" s="108" t="s">
        <v>190</v>
      </c>
      <c r="AA6" s="109" t="s">
        <v>190</v>
      </c>
      <c r="AB6" s="108" t="s">
        <v>197</v>
      </c>
      <c r="AC6" s="108" t="s">
        <v>197</v>
      </c>
      <c r="AD6" s="108" t="s">
        <v>197</v>
      </c>
      <c r="AE6" s="108" t="s">
        <v>192</v>
      </c>
      <c r="AF6" s="109" t="s">
        <v>198</v>
      </c>
      <c r="AG6" s="108" t="s">
        <v>198</v>
      </c>
      <c r="AH6" s="108" t="s">
        <v>198</v>
      </c>
      <c r="AI6" s="108" t="s">
        <v>198</v>
      </c>
      <c r="AJ6" s="107"/>
      <c r="AK6" s="115"/>
      <c r="AL6" s="116"/>
      <c r="AM6" s="116"/>
      <c r="AN6" s="116"/>
      <c r="AO6" s="107"/>
      <c r="AP6" s="117"/>
      <c r="AQ6" s="107"/>
      <c r="AR6" s="107"/>
      <c r="AS6" s="107"/>
      <c r="AT6" s="107"/>
      <c r="AU6" s="107"/>
      <c r="AV6" s="107"/>
      <c r="AW6" s="107"/>
      <c r="AX6" s="107"/>
      <c r="AY6" s="107"/>
      <c r="AZ6" s="107"/>
      <c r="BA6" s="107"/>
      <c r="BB6" s="107"/>
      <c r="BC6" s="107"/>
    </row>
    <row r="7" spans="1:195" s="125" customFormat="1" ht="16.5" hidden="1" thickBot="1">
      <c r="A7" s="118" t="s">
        <v>199</v>
      </c>
      <c r="B7" s="119" t="s">
        <v>200</v>
      </c>
      <c r="C7" s="120" t="s">
        <v>201</v>
      </c>
      <c r="D7" s="119" t="s">
        <v>202</v>
      </c>
      <c r="E7" s="119" t="s">
        <v>203</v>
      </c>
      <c r="F7" s="119" t="s">
        <v>204</v>
      </c>
      <c r="G7" s="119" t="s">
        <v>205</v>
      </c>
      <c r="H7" s="119" t="s">
        <v>206</v>
      </c>
      <c r="I7" s="119" t="s">
        <v>207</v>
      </c>
      <c r="J7" s="119" t="s">
        <v>208</v>
      </c>
      <c r="K7" s="119" t="s">
        <v>209</v>
      </c>
      <c r="L7" s="119" t="s">
        <v>210</v>
      </c>
      <c r="M7" s="119" t="s">
        <v>211</v>
      </c>
      <c r="N7" s="119" t="s">
        <v>212</v>
      </c>
      <c r="O7" s="119" t="s">
        <v>213</v>
      </c>
      <c r="P7" s="119" t="s">
        <v>214</v>
      </c>
      <c r="Q7" s="119" t="s">
        <v>215</v>
      </c>
      <c r="R7" s="119" t="s">
        <v>216</v>
      </c>
      <c r="S7" s="119" t="s">
        <v>217</v>
      </c>
      <c r="T7" s="121" t="s">
        <v>218</v>
      </c>
      <c r="U7" s="121" t="s">
        <v>219</v>
      </c>
      <c r="V7" s="119" t="s">
        <v>220</v>
      </c>
      <c r="W7" s="119" t="s">
        <v>196</v>
      </c>
      <c r="X7" s="121" t="s">
        <v>221</v>
      </c>
      <c r="Y7" s="119" t="s">
        <v>222</v>
      </c>
      <c r="Z7" s="119" t="s">
        <v>223</v>
      </c>
      <c r="AA7" s="121" t="s">
        <v>224</v>
      </c>
      <c r="AB7" s="119" t="s">
        <v>225</v>
      </c>
      <c r="AC7" s="119" t="s">
        <v>226</v>
      </c>
      <c r="AD7" s="119" t="s">
        <v>227</v>
      </c>
      <c r="AE7" s="119" t="s">
        <v>228</v>
      </c>
      <c r="AF7" s="121" t="s">
        <v>229</v>
      </c>
      <c r="AG7" s="119" t="s">
        <v>230</v>
      </c>
      <c r="AH7" s="119" t="s">
        <v>231</v>
      </c>
      <c r="AI7" s="119" t="s">
        <v>232</v>
      </c>
      <c r="AJ7" s="119" t="s">
        <v>233</v>
      </c>
      <c r="AK7" s="122"/>
      <c r="AL7" s="123"/>
      <c r="AM7" s="123"/>
      <c r="AN7" s="123"/>
      <c r="AO7" s="120"/>
      <c r="AP7" s="124"/>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0"/>
      <c r="CD7" s="120"/>
      <c r="CE7" s="120"/>
      <c r="CF7" s="120"/>
      <c r="CG7" s="120"/>
      <c r="CH7" s="120"/>
      <c r="CI7" s="120"/>
      <c r="CJ7" s="120"/>
      <c r="CK7" s="120"/>
      <c r="CL7" s="120"/>
      <c r="CM7" s="120"/>
      <c r="CN7" s="120"/>
      <c r="CO7" s="120"/>
      <c r="CP7" s="120"/>
      <c r="CQ7" s="120"/>
      <c r="CR7" s="120"/>
      <c r="CS7" s="120"/>
      <c r="CT7" s="120"/>
      <c r="CU7" s="120"/>
      <c r="CV7" s="120"/>
      <c r="CW7" s="120"/>
      <c r="CX7" s="120"/>
      <c r="CY7" s="120"/>
      <c r="CZ7" s="120"/>
      <c r="DA7" s="120"/>
      <c r="DB7" s="120"/>
      <c r="DC7" s="120"/>
      <c r="DD7" s="120"/>
      <c r="DE7" s="120"/>
      <c r="DF7" s="120"/>
      <c r="DG7" s="120"/>
      <c r="DH7" s="120"/>
      <c r="DI7" s="120"/>
      <c r="DJ7" s="120"/>
      <c r="DK7" s="120"/>
      <c r="DL7" s="120"/>
      <c r="DM7" s="120"/>
      <c r="DN7" s="120"/>
      <c r="DO7" s="120"/>
      <c r="DP7" s="120"/>
      <c r="DQ7" s="120"/>
      <c r="DR7" s="120"/>
      <c r="DS7" s="120"/>
      <c r="DT7" s="120"/>
      <c r="DU7" s="120"/>
      <c r="DV7" s="120"/>
      <c r="DW7" s="120"/>
      <c r="DX7" s="120"/>
      <c r="DY7" s="120"/>
      <c r="DZ7" s="120"/>
      <c r="EA7" s="120"/>
      <c r="EB7" s="120"/>
      <c r="EC7" s="120"/>
      <c r="ED7" s="120"/>
      <c r="EE7" s="120"/>
      <c r="EF7" s="120"/>
      <c r="EG7" s="120"/>
      <c r="EH7" s="120"/>
      <c r="EI7" s="120"/>
      <c r="EJ7" s="120"/>
      <c r="EK7" s="120"/>
      <c r="EL7" s="120"/>
      <c r="EM7" s="120"/>
      <c r="EN7" s="120"/>
      <c r="EO7" s="120"/>
      <c r="EP7" s="120"/>
      <c r="EQ7" s="120"/>
      <c r="ER7" s="120"/>
      <c r="ES7" s="120"/>
      <c r="ET7" s="120"/>
      <c r="EU7" s="120"/>
      <c r="EV7" s="120"/>
      <c r="EW7" s="120"/>
      <c r="EX7" s="120"/>
      <c r="EY7" s="120"/>
      <c r="EZ7" s="120"/>
      <c r="FA7" s="120"/>
      <c r="FB7" s="120"/>
      <c r="FC7" s="120"/>
      <c r="FD7" s="120"/>
      <c r="FE7" s="120"/>
      <c r="FF7" s="120"/>
      <c r="FG7" s="120"/>
      <c r="FH7" s="120"/>
      <c r="FI7" s="120"/>
      <c r="FJ7" s="120"/>
      <c r="FK7" s="120"/>
      <c r="FL7" s="120"/>
      <c r="FM7" s="120"/>
      <c r="FN7" s="120"/>
      <c r="FO7" s="120"/>
      <c r="FP7" s="120"/>
      <c r="FQ7" s="120"/>
      <c r="FR7" s="120"/>
      <c r="FS7" s="120"/>
      <c r="FT7" s="120"/>
      <c r="FU7" s="120"/>
      <c r="FV7" s="120"/>
      <c r="FW7" s="120"/>
      <c r="FX7" s="120"/>
      <c r="FY7" s="120"/>
      <c r="FZ7" s="120"/>
      <c r="GA7" s="120"/>
      <c r="GB7" s="120"/>
      <c r="GC7" s="120"/>
      <c r="GD7" s="120"/>
      <c r="GE7" s="120"/>
      <c r="GF7" s="120"/>
      <c r="GG7" s="120"/>
      <c r="GH7" s="120"/>
      <c r="GI7" s="120"/>
      <c r="GJ7" s="120"/>
      <c r="GK7" s="120"/>
      <c r="GL7" s="120"/>
      <c r="GM7" s="120"/>
    </row>
    <row r="8" spans="1:195">
      <c r="A8" s="100">
        <v>8</v>
      </c>
      <c r="B8" s="98">
        <v>1</v>
      </c>
      <c r="C8" s="98" t="s">
        <v>234</v>
      </c>
      <c r="D8" s="126" t="s">
        <v>235</v>
      </c>
      <c r="E8" s="98">
        <v>1920</v>
      </c>
      <c r="F8" s="98">
        <v>1923</v>
      </c>
      <c r="G8" s="98" t="s">
        <v>15</v>
      </c>
      <c r="H8" s="98" t="s">
        <v>236</v>
      </c>
      <c r="I8" s="98">
        <v>34.14</v>
      </c>
      <c r="J8" s="98">
        <v>4.88</v>
      </c>
      <c r="K8" s="98">
        <v>160</v>
      </c>
      <c r="L8" s="98">
        <v>82.4</v>
      </c>
      <c r="M8" s="98">
        <v>3</v>
      </c>
      <c r="N8" s="98">
        <v>2</v>
      </c>
      <c r="O8" s="98"/>
      <c r="P8" s="127">
        <v>22500000</v>
      </c>
      <c r="Q8" s="128">
        <v>2589988.1103360001</v>
      </c>
      <c r="R8" s="98">
        <v>6850</v>
      </c>
      <c r="S8" s="97" t="s">
        <v>237</v>
      </c>
      <c r="T8" s="129">
        <v>22200000</v>
      </c>
      <c r="U8" s="129">
        <v>28</v>
      </c>
      <c r="V8" s="127">
        <v>621600000</v>
      </c>
      <c r="W8" s="130" t="s">
        <v>238</v>
      </c>
      <c r="X8" s="129">
        <v>31.1</v>
      </c>
      <c r="Y8" s="98">
        <v>91.5</v>
      </c>
      <c r="Z8" s="98">
        <v>81.5</v>
      </c>
      <c r="AA8" s="129">
        <v>93</v>
      </c>
      <c r="AB8" s="98">
        <v>0.44</v>
      </c>
      <c r="AC8" s="131">
        <v>0.14925373134328357</v>
      </c>
      <c r="AD8" s="131">
        <v>0.34482758620689652</v>
      </c>
      <c r="AE8" s="132">
        <v>238325.52000000002</v>
      </c>
      <c r="AF8" s="129">
        <v>0.75</v>
      </c>
      <c r="AG8" s="98">
        <v>2.5</v>
      </c>
      <c r="AH8" s="98">
        <v>2.5</v>
      </c>
      <c r="AI8" s="98"/>
      <c r="AJ8" s="98" t="s">
        <v>239</v>
      </c>
      <c r="AK8" s="133">
        <f>AA8/X8</f>
        <v>2.990353697749196</v>
      </c>
      <c r="AL8" s="134">
        <f>T8/(X8^3)</f>
        <v>738.0262472053488</v>
      </c>
      <c r="AM8" s="135">
        <f>U8/X8</f>
        <v>0.90032154340836013</v>
      </c>
      <c r="AN8" s="135">
        <f>3600*AF8*SQRT(9.81/X8)</f>
        <v>1516.415005680627</v>
      </c>
      <c r="AO8" s="98"/>
      <c r="AP8" s="136"/>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c r="CU8" s="98"/>
      <c r="CV8" s="98"/>
      <c r="CW8" s="98"/>
      <c r="CX8" s="98"/>
      <c r="CY8" s="98"/>
      <c r="CZ8" s="98"/>
      <c r="DA8" s="98"/>
      <c r="DB8" s="98"/>
      <c r="DC8" s="98"/>
      <c r="DD8" s="98"/>
      <c r="DE8" s="98"/>
      <c r="DF8" s="98"/>
      <c r="DG8" s="98"/>
      <c r="DH8" s="98"/>
      <c r="DI8" s="98"/>
      <c r="DJ8" s="98"/>
      <c r="DK8" s="98"/>
      <c r="DL8" s="98"/>
      <c r="DM8" s="98"/>
      <c r="DN8" s="98"/>
      <c r="DO8" s="98"/>
      <c r="DP8" s="98"/>
      <c r="DQ8" s="98"/>
      <c r="DR8" s="98"/>
      <c r="DS8" s="98"/>
      <c r="DT8" s="98"/>
      <c r="DU8" s="98"/>
      <c r="DV8" s="98"/>
      <c r="DW8" s="98"/>
      <c r="DX8" s="98"/>
      <c r="DY8" s="98"/>
      <c r="DZ8" s="98"/>
      <c r="EA8" s="98"/>
      <c r="EB8" s="98"/>
      <c r="EC8" s="98"/>
      <c r="ED8" s="98"/>
      <c r="EE8" s="98"/>
      <c r="EF8" s="98"/>
      <c r="EG8" s="98"/>
      <c r="EH8" s="98"/>
      <c r="EI8" s="98"/>
      <c r="EJ8" s="98"/>
      <c r="EK8" s="98"/>
      <c r="EL8" s="98"/>
      <c r="EM8" s="98"/>
      <c r="EN8" s="98"/>
      <c r="EO8" s="98"/>
      <c r="EP8" s="98"/>
      <c r="EQ8" s="98"/>
      <c r="ER8" s="98"/>
      <c r="ES8" s="98"/>
      <c r="ET8" s="98"/>
      <c r="EU8" s="98"/>
      <c r="EV8" s="98"/>
      <c r="EW8" s="98"/>
      <c r="EX8" s="98"/>
      <c r="EY8" s="98"/>
      <c r="EZ8" s="98"/>
      <c r="FA8" s="98"/>
      <c r="FB8" s="98"/>
      <c r="FC8" s="98"/>
      <c r="FD8" s="98"/>
      <c r="FE8" s="98"/>
      <c r="FF8" s="98"/>
      <c r="FG8" s="98"/>
      <c r="FH8" s="98"/>
      <c r="FI8" s="98"/>
      <c r="FJ8" s="98"/>
      <c r="FK8" s="98"/>
      <c r="FL8" s="98"/>
      <c r="FM8" s="98"/>
      <c r="FN8" s="98"/>
      <c r="FO8" s="98"/>
      <c r="FP8" s="98"/>
      <c r="FQ8" s="98"/>
      <c r="FR8" s="98"/>
      <c r="FS8" s="98"/>
      <c r="FT8" s="98"/>
      <c r="FU8" s="98"/>
      <c r="FV8" s="98"/>
      <c r="FW8" s="98"/>
      <c r="FX8" s="98"/>
      <c r="FY8" s="98"/>
      <c r="FZ8" s="98"/>
      <c r="GA8" s="98"/>
      <c r="GB8" s="98"/>
      <c r="GC8" s="98"/>
      <c r="GD8" s="98"/>
      <c r="GE8" s="98"/>
      <c r="GF8" s="98"/>
      <c r="GG8" s="98"/>
      <c r="GH8" s="98"/>
      <c r="GI8" s="98"/>
      <c r="GJ8" s="98"/>
      <c r="GK8" s="98"/>
      <c r="GL8" s="98"/>
      <c r="GM8" s="98"/>
    </row>
    <row r="9" spans="1:195">
      <c r="A9" s="100">
        <v>16</v>
      </c>
      <c r="B9" s="98">
        <v>2</v>
      </c>
      <c r="C9" s="98" t="s">
        <v>240</v>
      </c>
      <c r="D9" s="126" t="s">
        <v>235</v>
      </c>
      <c r="E9" s="98">
        <v>1951</v>
      </c>
      <c r="F9" s="98">
        <v>1963</v>
      </c>
      <c r="G9" s="98" t="s">
        <v>15</v>
      </c>
      <c r="H9" s="98" t="s">
        <v>241</v>
      </c>
      <c r="I9" s="98">
        <v>71</v>
      </c>
      <c r="J9" s="98">
        <v>19.2</v>
      </c>
      <c r="K9" s="98">
        <v>100</v>
      </c>
      <c r="L9" s="98">
        <v>59.6</v>
      </c>
      <c r="M9" s="98">
        <v>2</v>
      </c>
      <c r="N9" s="98">
        <v>1.8</v>
      </c>
      <c r="O9" s="98">
        <v>198</v>
      </c>
      <c r="P9" s="137">
        <v>1100000</v>
      </c>
      <c r="Q9" s="128">
        <v>76890.272025600003</v>
      </c>
      <c r="R9" s="98">
        <v>1130</v>
      </c>
      <c r="S9" s="97" t="s">
        <v>237</v>
      </c>
      <c r="T9" s="129">
        <v>910000</v>
      </c>
      <c r="U9" s="129">
        <v>12.2</v>
      </c>
      <c r="V9" s="127">
        <v>11102000</v>
      </c>
      <c r="W9" s="130" t="s">
        <v>242</v>
      </c>
      <c r="X9" s="129">
        <v>21.3</v>
      </c>
      <c r="Y9" s="98"/>
      <c r="Z9" s="98"/>
      <c r="AA9" s="129">
        <v>25</v>
      </c>
      <c r="AB9" s="98">
        <v>0.31</v>
      </c>
      <c r="AC9" s="131">
        <v>0.41666666666666663</v>
      </c>
      <c r="AD9" s="131">
        <v>0.41666666666666663</v>
      </c>
      <c r="AE9" s="132">
        <v>31737</v>
      </c>
      <c r="AF9" s="129">
        <v>0.33333333333333331</v>
      </c>
      <c r="AG9" s="98">
        <v>1.3</v>
      </c>
      <c r="AH9" s="98">
        <v>1.3</v>
      </c>
      <c r="AI9" s="98"/>
      <c r="AJ9" s="98" t="s">
        <v>243</v>
      </c>
      <c r="AK9" s="133">
        <f t="shared" ref="AK9:AK72" si="0">AA9/X9</f>
        <v>1.1737089201877935</v>
      </c>
      <c r="AL9" s="134">
        <f t="shared" ref="AL9:AL72" si="1">T9/(X9^3)</f>
        <v>94.167834192588941</v>
      </c>
      <c r="AM9" s="135">
        <f t="shared" ref="AM9:AM72" si="2">U9/X9</f>
        <v>0.57276995305164313</v>
      </c>
      <c r="AN9" s="135">
        <f>3600*AF9*SQRT(9.81/X9)</f>
        <v>814.37784081201141</v>
      </c>
      <c r="AO9" s="98"/>
      <c r="AP9" s="136"/>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c r="CU9" s="98"/>
      <c r="CV9" s="98"/>
      <c r="CW9" s="98"/>
      <c r="CX9" s="98"/>
      <c r="CY9" s="98"/>
      <c r="CZ9" s="98"/>
      <c r="DA9" s="98"/>
      <c r="DB9" s="98"/>
      <c r="DC9" s="98"/>
      <c r="DD9" s="98"/>
      <c r="DE9" s="98"/>
      <c r="DF9" s="98"/>
      <c r="DG9" s="98"/>
      <c r="DH9" s="98"/>
      <c r="DI9" s="98"/>
      <c r="DJ9" s="98"/>
      <c r="DK9" s="98"/>
      <c r="DL9" s="98"/>
      <c r="DM9" s="98"/>
      <c r="DN9" s="98"/>
      <c r="DO9" s="98"/>
      <c r="DP9" s="98"/>
      <c r="DQ9" s="98"/>
      <c r="DR9" s="98"/>
      <c r="DS9" s="98"/>
      <c r="DT9" s="98"/>
      <c r="DU9" s="98"/>
      <c r="DV9" s="98"/>
      <c r="DW9" s="98"/>
      <c r="DX9" s="98"/>
      <c r="DY9" s="98"/>
      <c r="DZ9" s="98"/>
      <c r="EA9" s="98"/>
      <c r="EB9" s="98"/>
      <c r="EC9" s="98"/>
      <c r="ED9" s="98"/>
      <c r="EE9" s="98"/>
      <c r="EF9" s="98"/>
      <c r="EG9" s="98"/>
      <c r="EH9" s="98"/>
      <c r="EI9" s="98"/>
      <c r="EJ9" s="98"/>
      <c r="EK9" s="98"/>
      <c r="EL9" s="98"/>
      <c r="EM9" s="98"/>
      <c r="EN9" s="98"/>
      <c r="EO9" s="98"/>
      <c r="EP9" s="98"/>
      <c r="EQ9" s="98"/>
      <c r="ER9" s="98"/>
      <c r="ES9" s="98"/>
      <c r="ET9" s="98"/>
      <c r="EU9" s="98"/>
      <c r="EV9" s="98"/>
      <c r="EW9" s="98"/>
      <c r="EX9" s="98"/>
      <c r="EY9" s="98"/>
      <c r="EZ9" s="98"/>
      <c r="FA9" s="98"/>
      <c r="FB9" s="98"/>
      <c r="FC9" s="98"/>
      <c r="FD9" s="98"/>
      <c r="FE9" s="98"/>
      <c r="FF9" s="98"/>
      <c r="FG9" s="98"/>
      <c r="FH9" s="98"/>
      <c r="FI9" s="98"/>
      <c r="FJ9" s="98"/>
      <c r="FK9" s="98"/>
      <c r="FL9" s="98"/>
      <c r="FM9" s="98"/>
      <c r="FN9" s="98"/>
      <c r="FO9" s="98"/>
      <c r="FP9" s="98"/>
      <c r="FQ9" s="98"/>
      <c r="FR9" s="98"/>
      <c r="FS9" s="98"/>
      <c r="FT9" s="98"/>
      <c r="FU9" s="98"/>
      <c r="FV9" s="98"/>
      <c r="FW9" s="98"/>
      <c r="FX9" s="98"/>
      <c r="FY9" s="98"/>
      <c r="FZ9" s="98"/>
      <c r="GA9" s="98"/>
      <c r="GB9" s="98"/>
      <c r="GC9" s="98"/>
      <c r="GD9" s="98"/>
      <c r="GE9" s="98"/>
      <c r="GF9" s="98"/>
      <c r="GG9" s="98"/>
      <c r="GH9" s="98"/>
      <c r="GI9" s="98"/>
      <c r="GJ9" s="98"/>
      <c r="GK9" s="98"/>
      <c r="GL9" s="98"/>
      <c r="GM9" s="98"/>
    </row>
    <row r="10" spans="1:195">
      <c r="A10" s="100">
        <v>19</v>
      </c>
      <c r="B10" s="98">
        <v>3</v>
      </c>
      <c r="C10" s="98" t="s">
        <v>244</v>
      </c>
      <c r="D10" s="126" t="s">
        <v>235</v>
      </c>
      <c r="E10" s="98">
        <v>1963</v>
      </c>
      <c r="F10" s="98">
        <v>1976</v>
      </c>
      <c r="G10" s="98" t="s">
        <v>245</v>
      </c>
      <c r="H10" s="98" t="s">
        <v>241</v>
      </c>
      <c r="I10" s="98"/>
      <c r="J10" s="98">
        <v>3.1</v>
      </c>
      <c r="K10" s="98"/>
      <c r="L10" s="98">
        <v>14</v>
      </c>
      <c r="M10" s="98"/>
      <c r="N10" s="98"/>
      <c r="O10" s="98"/>
      <c r="P10" s="98"/>
      <c r="Q10" s="98"/>
      <c r="R10" s="98"/>
      <c r="S10" s="97"/>
      <c r="T10" s="129">
        <v>49300</v>
      </c>
      <c r="U10" s="129">
        <v>5.79</v>
      </c>
      <c r="V10" s="127">
        <v>285447</v>
      </c>
      <c r="W10" s="130"/>
      <c r="X10" s="129">
        <v>6.4</v>
      </c>
      <c r="Y10" s="98"/>
      <c r="Z10" s="98"/>
      <c r="AA10" s="129">
        <v>12.2</v>
      </c>
      <c r="AB10" s="98">
        <v>1.43</v>
      </c>
      <c r="AC10" s="131"/>
      <c r="AD10" s="131"/>
      <c r="AE10" s="98">
        <v>1093.1199999999999</v>
      </c>
      <c r="AF10" s="129"/>
      <c r="AG10" s="98"/>
      <c r="AH10" s="98"/>
      <c r="AI10" s="98"/>
      <c r="AJ10" s="98" t="s">
        <v>246</v>
      </c>
      <c r="AK10" s="133">
        <f t="shared" si="0"/>
        <v>1.9062499999999998</v>
      </c>
      <c r="AL10" s="134">
        <f t="shared" si="1"/>
        <v>188.06457519531244</v>
      </c>
      <c r="AM10" s="135">
        <f t="shared" si="2"/>
        <v>0.90468749999999998</v>
      </c>
      <c r="AN10" s="135"/>
      <c r="AO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98"/>
      <c r="DS10" s="98"/>
      <c r="DT10" s="98"/>
      <c r="DU10" s="98"/>
      <c r="DV10" s="98"/>
      <c r="DW10" s="98"/>
      <c r="DX10" s="98"/>
      <c r="DY10" s="98"/>
      <c r="DZ10" s="98"/>
      <c r="EA10" s="98"/>
      <c r="EB10" s="98"/>
      <c r="EC10" s="98"/>
      <c r="ED10" s="98"/>
      <c r="EE10" s="98"/>
      <c r="EF10" s="98"/>
      <c r="EG10" s="98"/>
      <c r="EH10" s="98"/>
      <c r="EI10" s="98"/>
      <c r="EJ10" s="98"/>
      <c r="EK10" s="98"/>
      <c r="EL10" s="98"/>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row>
    <row r="11" spans="1:195">
      <c r="A11" s="100">
        <v>26</v>
      </c>
      <c r="B11" s="98">
        <v>6</v>
      </c>
      <c r="C11" s="98" t="s">
        <v>247</v>
      </c>
      <c r="D11" s="126" t="s">
        <v>235</v>
      </c>
      <c r="E11" s="98"/>
      <c r="F11" s="98"/>
      <c r="G11" s="98" t="s">
        <v>9</v>
      </c>
      <c r="H11" s="98"/>
      <c r="I11" s="98"/>
      <c r="J11" s="98"/>
      <c r="K11" s="98"/>
      <c r="L11" s="98">
        <v>37</v>
      </c>
      <c r="M11" s="98"/>
      <c r="N11" s="98"/>
      <c r="O11" s="98"/>
      <c r="P11" s="137"/>
      <c r="Q11" s="137"/>
      <c r="R11" s="98"/>
      <c r="S11" s="97"/>
      <c r="T11" s="129">
        <v>24700</v>
      </c>
      <c r="U11" s="129">
        <v>6.1</v>
      </c>
      <c r="V11" s="127">
        <v>150670</v>
      </c>
      <c r="W11" s="130"/>
      <c r="X11" s="129">
        <v>6.1</v>
      </c>
      <c r="Y11" s="98"/>
      <c r="Z11" s="98"/>
      <c r="AA11" s="129">
        <v>4.72</v>
      </c>
      <c r="AB11" s="98">
        <v>0.73</v>
      </c>
      <c r="AC11" s="131"/>
      <c r="AD11" s="131"/>
      <c r="AE11" s="98">
        <v>1065.3039999999999</v>
      </c>
      <c r="AF11" s="129"/>
      <c r="AG11" s="98"/>
      <c r="AH11" s="98"/>
      <c r="AI11" s="98"/>
      <c r="AJ11" s="98" t="s">
        <v>248</v>
      </c>
      <c r="AK11" s="133">
        <f t="shared" si="0"/>
        <v>0.77377049180327873</v>
      </c>
      <c r="AL11" s="134">
        <f t="shared" si="1"/>
        <v>108.81968094245777</v>
      </c>
      <c r="AM11" s="135">
        <f t="shared" si="2"/>
        <v>1</v>
      </c>
      <c r="AN11" s="135"/>
      <c r="AO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c r="CU11" s="98"/>
      <c r="CV11" s="98"/>
      <c r="CW11" s="98"/>
      <c r="CX11" s="98"/>
      <c r="CY11" s="98"/>
      <c r="CZ11" s="98"/>
      <c r="DA11" s="98"/>
      <c r="DB11" s="98"/>
      <c r="DC11" s="98"/>
      <c r="DD11" s="98"/>
      <c r="DE11" s="98"/>
      <c r="DF11" s="98"/>
      <c r="DG11" s="98"/>
      <c r="DH11" s="98"/>
      <c r="DI11" s="98"/>
      <c r="DJ11" s="98"/>
      <c r="DK11" s="98"/>
      <c r="DL11" s="98"/>
      <c r="DM11" s="98"/>
      <c r="DN11" s="98"/>
      <c r="DO11" s="98"/>
      <c r="DP11" s="98"/>
      <c r="DQ11" s="98"/>
      <c r="DR11" s="98"/>
      <c r="DS11" s="98"/>
      <c r="DT11" s="98"/>
      <c r="DU11" s="98"/>
      <c r="DV11" s="98"/>
      <c r="DW11" s="98"/>
      <c r="DX11" s="98"/>
      <c r="DY11" s="98"/>
      <c r="DZ11" s="98"/>
      <c r="EA11" s="98"/>
      <c r="EB11" s="98"/>
      <c r="EC11" s="98"/>
      <c r="ED11" s="98"/>
      <c r="EE11" s="98"/>
      <c r="EF11" s="98"/>
      <c r="EG11" s="98"/>
      <c r="EH11" s="98"/>
      <c r="EI11" s="98"/>
      <c r="EJ11" s="98"/>
      <c r="EK11" s="98"/>
      <c r="EL11" s="98"/>
      <c r="EM11" s="98"/>
      <c r="EN11" s="98"/>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8"/>
      <c r="FO11" s="98"/>
      <c r="FP11" s="98"/>
      <c r="FQ11" s="98"/>
      <c r="FR11" s="98"/>
      <c r="FS11" s="98"/>
      <c r="FT11" s="98"/>
      <c r="FU11" s="98"/>
      <c r="FV11" s="98"/>
      <c r="FW11" s="98"/>
      <c r="FX11" s="98"/>
      <c r="FY11" s="98"/>
      <c r="FZ11" s="98"/>
      <c r="GA11" s="98"/>
      <c r="GB11" s="98"/>
      <c r="GC11" s="98"/>
      <c r="GD11" s="98"/>
      <c r="GE11" s="98"/>
      <c r="GF11" s="98"/>
      <c r="GG11" s="98"/>
      <c r="GH11" s="98"/>
      <c r="GI11" s="98"/>
      <c r="GJ11" s="98"/>
      <c r="GK11" s="98"/>
      <c r="GL11" s="98"/>
      <c r="GM11" s="98"/>
    </row>
    <row r="12" spans="1:195">
      <c r="A12" s="100">
        <v>31</v>
      </c>
      <c r="B12" s="98">
        <v>7</v>
      </c>
      <c r="C12" s="98" t="s">
        <v>249</v>
      </c>
      <c r="D12" s="126" t="s">
        <v>235</v>
      </c>
      <c r="E12" s="98">
        <v>1972</v>
      </c>
      <c r="F12" s="98">
        <v>1972</v>
      </c>
      <c r="G12" s="98" t="s">
        <v>250</v>
      </c>
      <c r="H12" s="98" t="s">
        <v>251</v>
      </c>
      <c r="I12" s="98">
        <v>14.02</v>
      </c>
      <c r="J12" s="98">
        <v>128</v>
      </c>
      <c r="K12" s="98"/>
      <c r="L12" s="98">
        <v>128</v>
      </c>
      <c r="M12" s="98">
        <v>1.6</v>
      </c>
      <c r="N12" s="98">
        <v>1.3</v>
      </c>
      <c r="O12" s="98"/>
      <c r="P12" s="137">
        <v>484000</v>
      </c>
      <c r="Q12" s="128">
        <v>52609.133491200002</v>
      </c>
      <c r="R12" s="98">
        <v>1420</v>
      </c>
      <c r="S12" s="97" t="s">
        <v>252</v>
      </c>
      <c r="T12" s="139">
        <v>483525</v>
      </c>
      <c r="U12" s="129">
        <v>14.02</v>
      </c>
      <c r="V12" s="127">
        <v>6779020.5</v>
      </c>
      <c r="W12" s="130" t="s">
        <v>238</v>
      </c>
      <c r="X12" s="129">
        <v>14</v>
      </c>
      <c r="Y12" s="98">
        <v>153</v>
      </c>
      <c r="Z12" s="98">
        <v>97</v>
      </c>
      <c r="AA12" s="129">
        <v>125</v>
      </c>
      <c r="AB12" s="98">
        <v>2</v>
      </c>
      <c r="AC12" s="131">
        <v>2</v>
      </c>
      <c r="AD12" s="131">
        <v>2</v>
      </c>
      <c r="AE12" s="98">
        <v>318819</v>
      </c>
      <c r="AF12" s="129"/>
      <c r="AG12" s="98">
        <v>0.5</v>
      </c>
      <c r="AH12" s="98">
        <v>0.5</v>
      </c>
      <c r="AI12" s="98"/>
      <c r="AJ12" s="98" t="s">
        <v>253</v>
      </c>
      <c r="AK12" s="133">
        <f t="shared" si="0"/>
        <v>8.9285714285714288</v>
      </c>
      <c r="AL12" s="134">
        <f t="shared" si="1"/>
        <v>176.21173469387756</v>
      </c>
      <c r="AM12" s="135">
        <f t="shared" si="2"/>
        <v>1.0014285714285713</v>
      </c>
      <c r="AN12" s="135"/>
      <c r="AP12" s="136"/>
      <c r="AQ12" s="140"/>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c r="CU12" s="98"/>
      <c r="CV12" s="98"/>
      <c r="CW12" s="98"/>
      <c r="CX12" s="98"/>
      <c r="CY12" s="98"/>
      <c r="CZ12" s="98"/>
      <c r="DA12" s="98"/>
      <c r="DB12" s="98"/>
      <c r="DC12" s="98"/>
      <c r="DD12" s="98"/>
      <c r="DE12" s="98"/>
      <c r="DF12" s="98"/>
      <c r="DG12" s="98"/>
      <c r="DH12" s="98"/>
      <c r="DI12" s="98"/>
      <c r="DJ12" s="98"/>
      <c r="DK12" s="98"/>
      <c r="DL12" s="98"/>
      <c r="DM12" s="98"/>
      <c r="DN12" s="98"/>
      <c r="DO12" s="98"/>
      <c r="DP12" s="98"/>
      <c r="DQ12" s="98"/>
      <c r="DR12" s="98"/>
      <c r="DS12" s="98"/>
      <c r="DT12" s="98"/>
      <c r="DU12" s="98"/>
      <c r="DV12" s="98"/>
      <c r="DW12" s="98"/>
      <c r="DX12" s="98"/>
      <c r="DY12" s="98"/>
      <c r="DZ12" s="98"/>
      <c r="EA12" s="98"/>
      <c r="EB12" s="98"/>
      <c r="EC12" s="98"/>
      <c r="ED12" s="98"/>
      <c r="EE12" s="98"/>
      <c r="EF12" s="98"/>
      <c r="EG12" s="98"/>
      <c r="EH12" s="98"/>
      <c r="EI12" s="98"/>
      <c r="EJ12" s="98"/>
      <c r="EK12" s="98"/>
      <c r="EL12" s="98"/>
      <c r="EM12" s="98"/>
      <c r="EN12" s="98"/>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8"/>
      <c r="FO12" s="98"/>
      <c r="FP12" s="98"/>
      <c r="FQ12" s="98"/>
      <c r="FR12" s="98"/>
      <c r="FS12" s="98"/>
      <c r="FT12" s="98"/>
      <c r="FU12" s="98"/>
      <c r="FV12" s="98"/>
      <c r="FW12" s="98"/>
      <c r="FX12" s="98"/>
      <c r="FY12" s="98"/>
      <c r="FZ12" s="98"/>
      <c r="GA12" s="98"/>
      <c r="GB12" s="98"/>
      <c r="GC12" s="98"/>
      <c r="GD12" s="98"/>
      <c r="GE12" s="98"/>
      <c r="GF12" s="98"/>
      <c r="GG12" s="98"/>
      <c r="GH12" s="98"/>
      <c r="GI12" s="98"/>
      <c r="GJ12" s="98"/>
      <c r="GK12" s="98"/>
      <c r="GL12" s="98"/>
      <c r="GM12" s="98"/>
    </row>
    <row r="13" spans="1:195">
      <c r="A13" s="100">
        <v>36</v>
      </c>
      <c r="B13" s="98">
        <v>8</v>
      </c>
      <c r="C13" s="98" t="s">
        <v>254</v>
      </c>
      <c r="D13" s="126" t="s">
        <v>235</v>
      </c>
      <c r="E13" s="98">
        <v>1971</v>
      </c>
      <c r="F13" s="98">
        <v>1971</v>
      </c>
      <c r="G13" s="98" t="s">
        <v>15</v>
      </c>
      <c r="H13" s="98" t="s">
        <v>241</v>
      </c>
      <c r="I13" s="98">
        <v>5.79</v>
      </c>
      <c r="J13" s="98">
        <v>4.3</v>
      </c>
      <c r="K13" s="98"/>
      <c r="L13" s="98">
        <v>18.600000000000001</v>
      </c>
      <c r="M13" s="98">
        <v>2</v>
      </c>
      <c r="N13" s="98">
        <v>3</v>
      </c>
      <c r="O13" s="98"/>
      <c r="P13" s="127">
        <v>1130000</v>
      </c>
      <c r="Q13" s="128"/>
      <c r="R13" s="98"/>
      <c r="S13" s="97"/>
      <c r="T13" s="129">
        <v>740000</v>
      </c>
      <c r="U13" s="129">
        <v>3.05</v>
      </c>
      <c r="V13" s="127">
        <v>2257000</v>
      </c>
      <c r="W13" s="130" t="s">
        <v>238</v>
      </c>
      <c r="X13" s="129">
        <v>5.79</v>
      </c>
      <c r="Y13" s="98">
        <v>13.6</v>
      </c>
      <c r="Z13" s="98">
        <v>11</v>
      </c>
      <c r="AA13" s="129">
        <v>12.5</v>
      </c>
      <c r="AB13" s="98">
        <v>0.21</v>
      </c>
      <c r="AC13" s="131">
        <v>0.21052631578947367</v>
      </c>
      <c r="AD13" s="131">
        <v>0.21052631578947367</v>
      </c>
      <c r="AE13" s="98">
        <v>1353</v>
      </c>
      <c r="AF13" s="129"/>
      <c r="AG13" s="98"/>
      <c r="AH13" s="98"/>
      <c r="AI13" s="98"/>
      <c r="AJ13" s="98" t="s">
        <v>255</v>
      </c>
      <c r="AK13" s="133">
        <f t="shared" si="0"/>
        <v>2.1588946459412779</v>
      </c>
      <c r="AL13" s="134">
        <f t="shared" si="1"/>
        <v>3812.3786481881293</v>
      </c>
      <c r="AM13" s="135">
        <f t="shared" si="2"/>
        <v>0.52677029360967187</v>
      </c>
      <c r="AN13" s="135"/>
      <c r="AP13" s="136"/>
      <c r="AQ13" s="98"/>
      <c r="AR13" s="98"/>
      <c r="AS13" s="98"/>
      <c r="AT13" s="98"/>
      <c r="AU13" s="98"/>
      <c r="AV13" s="98"/>
      <c r="AW13" s="98"/>
      <c r="AX13" s="98"/>
      <c r="AY13" s="98"/>
      <c r="AZ13" s="98"/>
      <c r="BA13" s="98"/>
      <c r="BB13" s="98"/>
      <c r="BC13" s="98"/>
      <c r="BD13" s="98"/>
      <c r="BE13" s="98"/>
      <c r="BF13" s="98"/>
      <c r="BG13" s="98"/>
      <c r="BH13" s="98"/>
      <c r="BI13" s="98"/>
      <c r="BJ13" s="98"/>
      <c r="BK13" s="98"/>
      <c r="BL13" s="98"/>
      <c r="BM13" s="98"/>
      <c r="BN13" s="98"/>
      <c r="BO13" s="98"/>
      <c r="BP13" s="98"/>
      <c r="BQ13" s="98"/>
      <c r="BR13" s="98"/>
      <c r="BS13" s="98"/>
      <c r="BT13" s="98"/>
      <c r="BU13" s="98"/>
      <c r="BV13" s="98"/>
      <c r="BW13" s="98"/>
      <c r="BX13" s="98"/>
      <c r="BY13" s="98"/>
      <c r="BZ13" s="98"/>
      <c r="CA13" s="98"/>
      <c r="CB13" s="98"/>
      <c r="CC13" s="98"/>
      <c r="CD13" s="98"/>
      <c r="CE13" s="98"/>
      <c r="CF13" s="98"/>
      <c r="CG13" s="98"/>
      <c r="CH13" s="98"/>
      <c r="CI13" s="98"/>
      <c r="CJ13" s="98"/>
      <c r="CK13" s="98"/>
      <c r="CL13" s="98"/>
      <c r="CM13" s="98"/>
      <c r="CN13" s="98"/>
      <c r="CO13" s="98"/>
      <c r="CP13" s="98"/>
      <c r="CQ13" s="98"/>
      <c r="CR13" s="98"/>
      <c r="CS13" s="98"/>
      <c r="CT13" s="98"/>
      <c r="CU13" s="98"/>
      <c r="CV13" s="98"/>
      <c r="CW13" s="98"/>
      <c r="CX13" s="98"/>
      <c r="CY13" s="98"/>
      <c r="CZ13" s="98"/>
      <c r="DA13" s="98"/>
      <c r="DB13" s="98"/>
      <c r="DC13" s="98"/>
      <c r="DD13" s="98"/>
      <c r="DE13" s="98"/>
      <c r="DF13" s="98"/>
      <c r="DG13" s="98"/>
      <c r="DH13" s="98"/>
      <c r="DI13" s="98"/>
      <c r="DJ13" s="98"/>
      <c r="DK13" s="98"/>
      <c r="DL13" s="98"/>
      <c r="DM13" s="98"/>
      <c r="DN13" s="98"/>
      <c r="DO13" s="98"/>
      <c r="DP13" s="98"/>
      <c r="DQ13" s="98"/>
      <c r="DR13" s="98"/>
      <c r="DS13" s="98"/>
      <c r="DT13" s="98"/>
      <c r="DU13" s="98"/>
      <c r="DV13" s="98"/>
      <c r="DW13" s="98"/>
      <c r="DX13" s="98"/>
      <c r="DY13" s="98"/>
      <c r="DZ13" s="98"/>
      <c r="EA13" s="98"/>
      <c r="EB13" s="98"/>
      <c r="EC13" s="98"/>
      <c r="ED13" s="98"/>
      <c r="EE13" s="98"/>
      <c r="EF13" s="98"/>
      <c r="EG13" s="98"/>
      <c r="EH13" s="98"/>
      <c r="EI13" s="98"/>
      <c r="EJ13" s="98"/>
      <c r="EK13" s="98"/>
      <c r="EL13" s="98"/>
      <c r="EM13" s="98"/>
      <c r="EN13" s="98"/>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8"/>
      <c r="FO13" s="98"/>
      <c r="FP13" s="98"/>
      <c r="FQ13" s="98"/>
      <c r="FR13" s="98"/>
      <c r="FS13" s="98"/>
      <c r="FT13" s="98"/>
      <c r="FU13" s="98"/>
      <c r="FV13" s="98"/>
      <c r="FW13" s="98"/>
      <c r="FX13" s="98"/>
      <c r="FY13" s="98"/>
      <c r="FZ13" s="98"/>
      <c r="GA13" s="98"/>
      <c r="GB13" s="98"/>
      <c r="GC13" s="98"/>
      <c r="GD13" s="98"/>
      <c r="GE13" s="98"/>
      <c r="GF13" s="98"/>
      <c r="GG13" s="98"/>
      <c r="GH13" s="98"/>
      <c r="GI13" s="98"/>
      <c r="GJ13" s="98"/>
      <c r="GK13" s="98"/>
      <c r="GL13" s="98"/>
      <c r="GM13" s="98"/>
    </row>
    <row r="14" spans="1:195">
      <c r="A14" s="100">
        <v>39</v>
      </c>
      <c r="B14" s="98">
        <v>9</v>
      </c>
      <c r="C14" s="98" t="s">
        <v>256</v>
      </c>
      <c r="D14" s="126" t="s">
        <v>235</v>
      </c>
      <c r="E14" s="98"/>
      <c r="F14" s="98">
        <v>1982</v>
      </c>
      <c r="G14" s="98" t="s">
        <v>9</v>
      </c>
      <c r="H14" s="98" t="s">
        <v>241</v>
      </c>
      <c r="I14" s="98"/>
      <c r="J14" s="98"/>
      <c r="K14" s="98"/>
      <c r="L14" s="98">
        <v>9.6300000000000008</v>
      </c>
      <c r="M14" s="98"/>
      <c r="N14" s="98"/>
      <c r="O14" s="98"/>
      <c r="P14" s="127"/>
      <c r="Q14" s="128"/>
      <c r="R14" s="98">
        <v>810</v>
      </c>
      <c r="S14" s="97" t="s">
        <v>257</v>
      </c>
      <c r="T14" s="129">
        <v>2380000</v>
      </c>
      <c r="U14" s="129">
        <v>7.16</v>
      </c>
      <c r="V14" s="127">
        <v>17040800</v>
      </c>
      <c r="W14" s="130"/>
      <c r="X14" s="129">
        <v>7.16</v>
      </c>
      <c r="Y14" s="98"/>
      <c r="Z14" s="98"/>
      <c r="AA14" s="129">
        <v>62.5</v>
      </c>
      <c r="AB14" s="98">
        <v>0.85</v>
      </c>
      <c r="AC14" s="131"/>
      <c r="AD14" s="131"/>
      <c r="AE14" s="98">
        <v>4309.4250000000002</v>
      </c>
      <c r="AF14" s="129"/>
      <c r="AG14" s="98"/>
      <c r="AH14" s="98"/>
      <c r="AI14" s="98"/>
      <c r="AJ14" s="98" t="s">
        <v>258</v>
      </c>
      <c r="AK14" s="133">
        <f t="shared" si="0"/>
        <v>8.7290502793296092</v>
      </c>
      <c r="AL14" s="134">
        <f t="shared" si="1"/>
        <v>6483.9236181156866</v>
      </c>
      <c r="AM14" s="135">
        <f t="shared" si="2"/>
        <v>1</v>
      </c>
      <c r="AN14" s="135"/>
      <c r="AP14" s="141"/>
      <c r="AQ14" s="140"/>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c r="CU14" s="98"/>
      <c r="CV14" s="98"/>
      <c r="CW14" s="98"/>
      <c r="CX14" s="98"/>
      <c r="CY14" s="98"/>
      <c r="CZ14" s="98"/>
      <c r="DA14" s="98"/>
      <c r="DB14" s="98"/>
      <c r="DC14" s="98"/>
      <c r="DD14" s="98"/>
      <c r="DE14" s="98"/>
      <c r="DF14" s="98"/>
      <c r="DG14" s="98"/>
      <c r="DH14" s="98"/>
      <c r="DI14" s="98"/>
      <c r="DJ14" s="98"/>
      <c r="DK14" s="98"/>
      <c r="DL14" s="98"/>
      <c r="DM14" s="98"/>
      <c r="DN14" s="98"/>
      <c r="DO14" s="98"/>
      <c r="DP14" s="98"/>
      <c r="DQ14" s="98"/>
      <c r="DR14" s="98"/>
      <c r="DS14" s="98"/>
      <c r="DT14" s="98"/>
      <c r="DU14" s="98"/>
      <c r="DV14" s="98"/>
      <c r="DW14" s="98"/>
      <c r="DX14" s="98"/>
      <c r="DY14" s="98"/>
      <c r="DZ14" s="98"/>
      <c r="EA14" s="98"/>
      <c r="EB14" s="98"/>
      <c r="EC14" s="98"/>
      <c r="ED14" s="98"/>
      <c r="EE14" s="98"/>
      <c r="EF14" s="98"/>
      <c r="EG14" s="98"/>
      <c r="EH14" s="98"/>
      <c r="EI14" s="98"/>
      <c r="EJ14" s="98"/>
      <c r="EK14" s="98"/>
      <c r="EL14" s="98"/>
      <c r="EM14" s="98"/>
      <c r="EN14" s="98"/>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8"/>
      <c r="FO14" s="98"/>
      <c r="FP14" s="98"/>
      <c r="FQ14" s="98"/>
      <c r="FR14" s="98"/>
      <c r="FS14" s="98"/>
      <c r="FT14" s="98"/>
      <c r="FU14" s="98"/>
      <c r="FV14" s="98"/>
      <c r="FW14" s="98"/>
      <c r="FX14" s="98"/>
      <c r="FY14" s="98"/>
      <c r="FZ14" s="98"/>
      <c r="GA14" s="98"/>
      <c r="GB14" s="98"/>
      <c r="GC14" s="98"/>
      <c r="GD14" s="98"/>
      <c r="GE14" s="98"/>
      <c r="GF14" s="98"/>
      <c r="GG14" s="98"/>
      <c r="GH14" s="98"/>
      <c r="GI14" s="98"/>
      <c r="GJ14" s="98"/>
      <c r="GK14" s="98"/>
      <c r="GL14" s="98"/>
      <c r="GM14" s="98"/>
    </row>
    <row r="15" spans="1:195">
      <c r="A15" s="100">
        <v>49</v>
      </c>
      <c r="B15" s="98">
        <v>11</v>
      </c>
      <c r="C15" s="98" t="s">
        <v>259</v>
      </c>
      <c r="D15" s="126" t="s">
        <v>235</v>
      </c>
      <c r="E15" s="98">
        <v>1890</v>
      </c>
      <c r="F15" s="98">
        <v>1933</v>
      </c>
      <c r="G15" s="98" t="s">
        <v>9</v>
      </c>
      <c r="H15" s="98" t="s">
        <v>260</v>
      </c>
      <c r="I15" s="98">
        <v>21.34</v>
      </c>
      <c r="J15" s="98">
        <v>4.9000000000000004</v>
      </c>
      <c r="K15" s="98"/>
      <c r="L15" s="98">
        <v>47.4</v>
      </c>
      <c r="M15" s="98">
        <v>3</v>
      </c>
      <c r="N15" s="98">
        <v>1</v>
      </c>
      <c r="O15" s="98"/>
      <c r="P15" s="127">
        <v>4230000</v>
      </c>
      <c r="Q15" s="128">
        <v>809371.28448000003</v>
      </c>
      <c r="R15" s="98">
        <v>3570</v>
      </c>
      <c r="S15" s="97" t="s">
        <v>237</v>
      </c>
      <c r="T15" s="129">
        <v>6170000</v>
      </c>
      <c r="U15" s="129">
        <v>21.6</v>
      </c>
      <c r="V15" s="127">
        <v>133272000.00000001</v>
      </c>
      <c r="W15" s="130" t="s">
        <v>238</v>
      </c>
      <c r="X15" s="129">
        <v>21.3</v>
      </c>
      <c r="Y15" s="98">
        <v>54.9</v>
      </c>
      <c r="Z15" s="98">
        <v>33.5</v>
      </c>
      <c r="AA15" s="129">
        <v>44.2</v>
      </c>
      <c r="AB15" s="98">
        <v>0.5</v>
      </c>
      <c r="AC15" s="131"/>
      <c r="AD15" s="131"/>
      <c r="AE15" s="98">
        <v>55660</v>
      </c>
      <c r="AF15" s="129">
        <v>0.5</v>
      </c>
      <c r="AG15" s="98"/>
      <c r="AH15" s="98">
        <v>0.33</v>
      </c>
      <c r="AI15" s="98"/>
      <c r="AJ15" s="98" t="s">
        <v>261</v>
      </c>
      <c r="AK15" s="133">
        <f t="shared" si="0"/>
        <v>2.075117370892019</v>
      </c>
      <c r="AL15" s="134">
        <f t="shared" si="1"/>
        <v>638.4786120530481</v>
      </c>
      <c r="AM15" s="135">
        <f t="shared" si="2"/>
        <v>1.0140845070422535</v>
      </c>
      <c r="AN15" s="135">
        <f>3600*AF15*SQRT(9.81/X15)</f>
        <v>1221.5667612180171</v>
      </c>
      <c r="AP15" s="136"/>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c r="CU15" s="98"/>
      <c r="CV15" s="98"/>
      <c r="CW15" s="98"/>
      <c r="CX15" s="98"/>
      <c r="CY15" s="98"/>
      <c r="CZ15" s="98"/>
      <c r="DA15" s="98"/>
      <c r="DB15" s="98"/>
      <c r="DC15" s="98"/>
      <c r="DD15" s="98"/>
      <c r="DE15" s="98"/>
      <c r="DF15" s="98"/>
      <c r="DG15" s="98"/>
      <c r="DH15" s="98"/>
      <c r="DI15" s="98"/>
      <c r="DJ15" s="98"/>
      <c r="DK15" s="98"/>
      <c r="DL15" s="98"/>
      <c r="DM15" s="98"/>
      <c r="DN15" s="98"/>
      <c r="DO15" s="98"/>
      <c r="DP15" s="98"/>
      <c r="DQ15" s="98"/>
      <c r="DR15" s="98"/>
      <c r="DS15" s="98"/>
      <c r="DT15" s="98"/>
      <c r="DU15" s="98"/>
      <c r="DV15" s="98"/>
      <c r="DW15" s="98"/>
      <c r="DX15" s="98"/>
      <c r="DY15" s="98"/>
      <c r="DZ15" s="98"/>
      <c r="EA15" s="98"/>
      <c r="EB15" s="98"/>
      <c r="EC15" s="98"/>
      <c r="ED15" s="98"/>
      <c r="EE15" s="98"/>
      <c r="EF15" s="98"/>
      <c r="EG15" s="98"/>
      <c r="EH15" s="98"/>
      <c r="EI15" s="98"/>
      <c r="EJ15" s="98"/>
      <c r="EK15" s="98"/>
      <c r="EL15" s="98"/>
      <c r="EM15" s="98"/>
      <c r="EN15" s="98"/>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8"/>
      <c r="FO15" s="98"/>
      <c r="FP15" s="98"/>
      <c r="FQ15" s="98"/>
      <c r="FR15" s="98"/>
      <c r="FS15" s="98"/>
      <c r="FT15" s="98"/>
      <c r="FU15" s="98"/>
      <c r="FV15" s="98"/>
      <c r="FW15" s="98"/>
      <c r="FX15" s="98"/>
      <c r="FY15" s="98"/>
      <c r="FZ15" s="98"/>
      <c r="GA15" s="98"/>
      <c r="GB15" s="98"/>
      <c r="GC15" s="98"/>
      <c r="GD15" s="98"/>
      <c r="GE15" s="98"/>
      <c r="GF15" s="98"/>
      <c r="GG15" s="98"/>
      <c r="GH15" s="98"/>
      <c r="GI15" s="98"/>
      <c r="GJ15" s="98"/>
      <c r="GK15" s="98"/>
      <c r="GL15" s="98"/>
      <c r="GM15" s="98"/>
    </row>
    <row r="16" spans="1:195">
      <c r="A16" s="100">
        <v>51</v>
      </c>
      <c r="B16" s="98">
        <v>12</v>
      </c>
      <c r="C16" s="98" t="s">
        <v>262</v>
      </c>
      <c r="D16" s="126" t="s">
        <v>235</v>
      </c>
      <c r="E16" s="98"/>
      <c r="F16" s="98"/>
      <c r="G16" s="98" t="s">
        <v>263</v>
      </c>
      <c r="H16" s="98"/>
      <c r="I16" s="98"/>
      <c r="J16" s="98"/>
      <c r="K16" s="98"/>
      <c r="L16" s="98">
        <v>32</v>
      </c>
      <c r="M16" s="98"/>
      <c r="N16" s="98"/>
      <c r="O16" s="98"/>
      <c r="P16" s="127"/>
      <c r="Q16" s="128"/>
      <c r="R16" s="98"/>
      <c r="S16" s="97"/>
      <c r="T16" s="129">
        <v>698000</v>
      </c>
      <c r="U16" s="129">
        <v>11.1</v>
      </c>
      <c r="V16" s="127">
        <v>7747800</v>
      </c>
      <c r="W16" s="130"/>
      <c r="X16" s="129">
        <v>12.2</v>
      </c>
      <c r="Y16" s="98"/>
      <c r="Z16" s="98"/>
      <c r="AA16" s="129">
        <v>35.1</v>
      </c>
      <c r="AB16" s="98">
        <v>1.38</v>
      </c>
      <c r="AC16" s="131"/>
      <c r="AD16" s="131"/>
      <c r="AE16" s="98">
        <v>13703.039999999999</v>
      </c>
      <c r="AF16" s="129"/>
      <c r="AG16" s="98"/>
      <c r="AH16" s="98"/>
      <c r="AI16" s="98"/>
      <c r="AJ16" s="98" t="s">
        <v>248</v>
      </c>
      <c r="AK16" s="133">
        <f t="shared" si="0"/>
        <v>2.877049180327869</v>
      </c>
      <c r="AL16" s="134">
        <f t="shared" si="1"/>
        <v>384.39340737771016</v>
      </c>
      <c r="AM16" s="135">
        <f t="shared" si="2"/>
        <v>0.9098360655737705</v>
      </c>
      <c r="AN16" s="135"/>
      <c r="AP16" s="141"/>
      <c r="AQ16" s="140"/>
      <c r="AR16" s="142"/>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c r="CU16" s="98"/>
      <c r="CV16" s="98"/>
      <c r="CW16" s="98"/>
      <c r="CX16" s="98"/>
      <c r="CY16" s="98"/>
      <c r="CZ16" s="98"/>
      <c r="DA16" s="98"/>
      <c r="DB16" s="98"/>
      <c r="DC16" s="98"/>
      <c r="DD16" s="98"/>
      <c r="DE16" s="98"/>
      <c r="DF16" s="98"/>
      <c r="DG16" s="98"/>
      <c r="DH16" s="98"/>
      <c r="DI16" s="98"/>
      <c r="DJ16" s="98"/>
      <c r="DK16" s="98"/>
      <c r="DL16" s="98"/>
      <c r="DM16" s="98"/>
      <c r="DN16" s="98"/>
      <c r="DO16" s="98"/>
      <c r="DP16" s="98"/>
      <c r="DQ16" s="98"/>
      <c r="DR16" s="98"/>
      <c r="DS16" s="98"/>
      <c r="DT16" s="98"/>
      <c r="DU16" s="98"/>
      <c r="DV16" s="98"/>
      <c r="DW16" s="98"/>
      <c r="DX16" s="98"/>
      <c r="DY16" s="98"/>
      <c r="DZ16" s="98"/>
      <c r="EA16" s="98"/>
      <c r="EB16" s="98"/>
      <c r="EC16" s="98"/>
      <c r="ED16" s="98"/>
      <c r="EE16" s="98"/>
      <c r="EF16" s="98"/>
      <c r="EG16" s="98"/>
      <c r="EH16" s="98"/>
      <c r="EI16" s="98"/>
      <c r="EJ16" s="98"/>
      <c r="EK16" s="98"/>
      <c r="EL16" s="98"/>
      <c r="EM16" s="98"/>
      <c r="EN16" s="98"/>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8"/>
      <c r="FO16" s="98"/>
      <c r="FP16" s="98"/>
      <c r="FQ16" s="98"/>
      <c r="FR16" s="98"/>
      <c r="FS16" s="98"/>
      <c r="FT16" s="98"/>
      <c r="FU16" s="98"/>
      <c r="FV16" s="98"/>
      <c r="FW16" s="98"/>
      <c r="FX16" s="98"/>
      <c r="FY16" s="98"/>
      <c r="FZ16" s="98"/>
      <c r="GA16" s="98"/>
      <c r="GB16" s="98"/>
      <c r="GC16" s="98"/>
      <c r="GD16" s="98"/>
      <c r="GE16" s="98"/>
      <c r="GF16" s="98"/>
      <c r="GG16" s="98"/>
      <c r="GH16" s="98"/>
      <c r="GI16" s="98"/>
      <c r="GJ16" s="98"/>
      <c r="GK16" s="98"/>
      <c r="GL16" s="98"/>
      <c r="GM16" s="98"/>
    </row>
    <row r="17" spans="1:195">
      <c r="A17" s="100">
        <v>56</v>
      </c>
      <c r="B17" s="98">
        <v>14</v>
      </c>
      <c r="C17" s="98" t="s">
        <v>264</v>
      </c>
      <c r="D17" s="126" t="s">
        <v>235</v>
      </c>
      <c r="E17" s="98">
        <v>1965</v>
      </c>
      <c r="F17" s="98">
        <v>1994</v>
      </c>
      <c r="G17" s="98" t="s">
        <v>9</v>
      </c>
      <c r="H17" s="98" t="s">
        <v>241</v>
      </c>
      <c r="I17" s="98"/>
      <c r="J17" s="98"/>
      <c r="K17" s="98"/>
      <c r="L17" s="98">
        <v>15</v>
      </c>
      <c r="M17" s="98"/>
      <c r="N17" s="98"/>
      <c r="O17" s="98"/>
      <c r="P17" s="137"/>
      <c r="Q17" s="128"/>
      <c r="R17" s="98"/>
      <c r="S17" s="97"/>
      <c r="T17" s="129">
        <v>466000</v>
      </c>
      <c r="U17" s="129">
        <v>4.05</v>
      </c>
      <c r="V17" s="127">
        <v>1887300</v>
      </c>
      <c r="W17" s="130"/>
      <c r="X17" s="129">
        <v>3.78</v>
      </c>
      <c r="Y17" s="98"/>
      <c r="Z17" s="98"/>
      <c r="AA17" s="129">
        <v>22.8</v>
      </c>
      <c r="AB17" s="98">
        <v>1.03</v>
      </c>
      <c r="AC17" s="131"/>
      <c r="AD17" s="131"/>
      <c r="AE17" s="98">
        <v>1292.76</v>
      </c>
      <c r="AF17" s="129"/>
      <c r="AG17" s="98"/>
      <c r="AH17" s="98"/>
      <c r="AI17" s="98"/>
      <c r="AJ17" s="98" t="s">
        <v>23</v>
      </c>
      <c r="AK17" s="133">
        <f t="shared" si="0"/>
        <v>6.0317460317460325</v>
      </c>
      <c r="AL17" s="134">
        <f t="shared" si="1"/>
        <v>8628.007564207559</v>
      </c>
      <c r="AM17" s="135">
        <f t="shared" si="2"/>
        <v>1.0714285714285714</v>
      </c>
      <c r="AN17" s="135"/>
      <c r="AP17" s="141"/>
      <c r="AQ17" s="143"/>
      <c r="AR17" s="142"/>
      <c r="AS17" s="98"/>
      <c r="AT17" s="98"/>
      <c r="AU17" s="98"/>
      <c r="AV17" s="98"/>
      <c r="AW17" s="98"/>
      <c r="AX17" s="98"/>
      <c r="AY17" s="98"/>
      <c r="AZ17" s="98"/>
      <c r="BA17" s="98"/>
      <c r="BB17" s="98"/>
      <c r="BC17" s="98"/>
      <c r="BD17" s="98"/>
      <c r="BE17" s="98"/>
      <c r="BF17" s="98"/>
      <c r="BG17" s="98"/>
      <c r="BH17" s="98"/>
      <c r="BI17" s="98"/>
      <c r="BJ17" s="98"/>
      <c r="BK17" s="98"/>
      <c r="BL17" s="98"/>
      <c r="BM17" s="98"/>
      <c r="BN17" s="98"/>
      <c r="BO17" s="98"/>
      <c r="BP17" s="98"/>
      <c r="BQ17" s="98"/>
      <c r="BR17" s="98"/>
      <c r="BS17" s="98"/>
      <c r="BT17" s="98"/>
      <c r="BU17" s="98"/>
      <c r="BV17" s="98"/>
      <c r="BW17" s="98"/>
      <c r="BX17" s="98"/>
      <c r="BY17" s="98"/>
      <c r="BZ17" s="98"/>
      <c r="CA17" s="98"/>
      <c r="CB17" s="98"/>
      <c r="CC17" s="98"/>
      <c r="CD17" s="98"/>
      <c r="CE17" s="98"/>
      <c r="CF17" s="98"/>
      <c r="CG17" s="98"/>
      <c r="CH17" s="98"/>
      <c r="CI17" s="98"/>
      <c r="CJ17" s="98"/>
      <c r="CK17" s="98"/>
      <c r="CL17" s="98"/>
      <c r="CM17" s="98"/>
      <c r="CN17" s="98"/>
      <c r="CO17" s="98"/>
      <c r="CP17" s="98"/>
      <c r="CQ17" s="98"/>
      <c r="CR17" s="98"/>
      <c r="CS17" s="98"/>
      <c r="CT17" s="98"/>
      <c r="CU17" s="98"/>
      <c r="CV17" s="98"/>
      <c r="CW17" s="98"/>
      <c r="CX17" s="98"/>
      <c r="CY17" s="98"/>
      <c r="CZ17" s="98"/>
      <c r="DA17" s="98"/>
      <c r="DB17" s="98"/>
      <c r="DC17" s="98"/>
      <c r="DD17" s="98"/>
      <c r="DE17" s="98"/>
      <c r="DF17" s="98"/>
      <c r="DG17" s="98"/>
      <c r="DH17" s="98"/>
      <c r="DI17" s="98"/>
      <c r="DJ17" s="98"/>
      <c r="DK17" s="98"/>
      <c r="DL17" s="98"/>
      <c r="DM17" s="98"/>
      <c r="DN17" s="98"/>
      <c r="DO17" s="98"/>
      <c r="DP17" s="98"/>
      <c r="DQ17" s="98"/>
      <c r="DR17" s="98"/>
      <c r="DS17" s="98"/>
      <c r="DT17" s="98"/>
      <c r="DU17" s="98"/>
      <c r="DV17" s="98"/>
      <c r="DW17" s="98"/>
      <c r="DX17" s="98"/>
      <c r="DY17" s="98"/>
      <c r="DZ17" s="98"/>
      <c r="EA17" s="98"/>
      <c r="EB17" s="98"/>
      <c r="EC17" s="98"/>
      <c r="ED17" s="98"/>
      <c r="EE17" s="98"/>
      <c r="EF17" s="98"/>
      <c r="EG17" s="98"/>
      <c r="EH17" s="98"/>
      <c r="EI17" s="98"/>
      <c r="EJ17" s="98"/>
      <c r="EK17" s="98"/>
      <c r="EL17" s="98"/>
      <c r="EM17" s="98"/>
      <c r="EN17" s="98"/>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8"/>
      <c r="FO17" s="98"/>
      <c r="FP17" s="98"/>
      <c r="FQ17" s="98"/>
      <c r="FR17" s="98"/>
      <c r="FS17" s="98"/>
      <c r="FT17" s="98"/>
      <c r="FU17" s="98"/>
      <c r="FV17" s="98"/>
      <c r="FW17" s="98"/>
      <c r="FX17" s="98"/>
      <c r="FY17" s="98"/>
      <c r="FZ17" s="98"/>
      <c r="GA17" s="98"/>
      <c r="GB17" s="98"/>
      <c r="GC17" s="98"/>
      <c r="GD17" s="98"/>
      <c r="GE17" s="98"/>
      <c r="GF17" s="98"/>
      <c r="GG17" s="98"/>
      <c r="GH17" s="98"/>
      <c r="GI17" s="98"/>
      <c r="GJ17" s="98"/>
      <c r="GK17" s="98"/>
      <c r="GL17" s="98"/>
      <c r="GM17" s="98"/>
    </row>
    <row r="18" spans="1:195">
      <c r="A18" s="100">
        <v>61</v>
      </c>
      <c r="B18" s="98">
        <v>15</v>
      </c>
      <c r="C18" s="98" t="s">
        <v>265</v>
      </c>
      <c r="D18" s="126" t="s">
        <v>235</v>
      </c>
      <c r="E18" s="98">
        <v>1924</v>
      </c>
      <c r="F18" s="98">
        <v>1925</v>
      </c>
      <c r="G18" s="98" t="s">
        <v>9</v>
      </c>
      <c r="H18" s="98" t="s">
        <v>266</v>
      </c>
      <c r="I18" s="98">
        <v>10.97</v>
      </c>
      <c r="J18" s="98">
        <v>3.1</v>
      </c>
      <c r="K18" s="98"/>
      <c r="L18" s="98"/>
      <c r="M18" s="98"/>
      <c r="N18" s="98"/>
      <c r="O18" s="98">
        <v>262.10000000000002</v>
      </c>
      <c r="P18" s="137">
        <v>310000</v>
      </c>
      <c r="Q18" s="137"/>
      <c r="R18" s="98"/>
      <c r="S18" s="97"/>
      <c r="T18" s="129">
        <v>311000</v>
      </c>
      <c r="U18" s="129">
        <v>11</v>
      </c>
      <c r="V18" s="127">
        <v>3421000</v>
      </c>
      <c r="W18" s="130"/>
      <c r="X18" s="129">
        <v>11</v>
      </c>
      <c r="Y18" s="98">
        <v>67</v>
      </c>
      <c r="Z18" s="98">
        <v>18.2</v>
      </c>
      <c r="AA18" s="129">
        <v>42.7</v>
      </c>
      <c r="AB18" s="98">
        <v>2.2200000000000002</v>
      </c>
      <c r="AC18" s="131"/>
      <c r="AD18" s="131"/>
      <c r="AE18" s="98"/>
      <c r="AF18" s="129">
        <v>0.25</v>
      </c>
      <c r="AG18" s="98" t="s">
        <v>267</v>
      </c>
      <c r="AH18" s="98"/>
      <c r="AI18" s="98" t="s">
        <v>267</v>
      </c>
      <c r="AJ18" s="98" t="s">
        <v>268</v>
      </c>
      <c r="AK18" s="133">
        <f t="shared" si="0"/>
        <v>3.8818181818181823</v>
      </c>
      <c r="AL18" s="134">
        <f t="shared" si="1"/>
        <v>233.65890308039067</v>
      </c>
      <c r="AM18" s="135">
        <f t="shared" si="2"/>
        <v>1</v>
      </c>
      <c r="AN18" s="135">
        <f>3600*AF18*SQRT(9.81/X18)</f>
        <v>849.92513039251128</v>
      </c>
      <c r="AP18" s="144"/>
      <c r="AQ18" s="140"/>
      <c r="AR18" s="142"/>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c r="BT18" s="98"/>
      <c r="BU18" s="98"/>
      <c r="BV18" s="98"/>
      <c r="BW18" s="98"/>
      <c r="BX18" s="98"/>
      <c r="BY18" s="98"/>
      <c r="BZ18" s="98"/>
      <c r="CA18" s="98"/>
      <c r="CB18" s="98"/>
      <c r="CC18" s="98"/>
      <c r="CD18" s="98"/>
      <c r="CE18" s="98"/>
      <c r="CF18" s="98"/>
      <c r="CG18" s="98"/>
      <c r="CH18" s="98"/>
      <c r="CI18" s="98"/>
      <c r="CJ18" s="98"/>
      <c r="CK18" s="98"/>
      <c r="CL18" s="98"/>
      <c r="CM18" s="98"/>
      <c r="CN18" s="98"/>
      <c r="CO18" s="98"/>
      <c r="CP18" s="98"/>
      <c r="CQ18" s="98"/>
      <c r="CR18" s="98"/>
      <c r="CS18" s="98"/>
      <c r="CT18" s="98"/>
      <c r="CU18" s="98"/>
      <c r="CV18" s="98"/>
      <c r="CW18" s="98"/>
      <c r="CX18" s="98"/>
      <c r="CY18" s="98"/>
      <c r="CZ18" s="98"/>
      <c r="DA18" s="98"/>
      <c r="DB18" s="98"/>
      <c r="DC18" s="98"/>
      <c r="DD18" s="98"/>
      <c r="DE18" s="98"/>
      <c r="DF18" s="98"/>
      <c r="DG18" s="98"/>
      <c r="DH18" s="98"/>
      <c r="DI18" s="98"/>
      <c r="DJ18" s="98"/>
      <c r="DK18" s="98"/>
      <c r="DL18" s="98"/>
      <c r="DM18" s="98"/>
      <c r="DN18" s="98"/>
      <c r="DO18" s="98"/>
      <c r="DP18" s="98"/>
      <c r="DQ18" s="98"/>
      <c r="DR18" s="98"/>
      <c r="DS18" s="98"/>
      <c r="DT18" s="98"/>
      <c r="DU18" s="98"/>
      <c r="DV18" s="98"/>
      <c r="DW18" s="98"/>
      <c r="DX18" s="98"/>
      <c r="DY18" s="98"/>
      <c r="DZ18" s="98"/>
      <c r="EA18" s="98"/>
      <c r="EB18" s="98"/>
      <c r="EC18" s="98"/>
      <c r="ED18" s="98"/>
      <c r="EE18" s="98"/>
      <c r="EF18" s="98"/>
      <c r="EG18" s="98"/>
      <c r="EH18" s="98"/>
      <c r="EI18" s="98"/>
      <c r="EJ18" s="98"/>
      <c r="EK18" s="98"/>
      <c r="EL18" s="98"/>
      <c r="EM18" s="98"/>
      <c r="EN18" s="98"/>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8"/>
      <c r="FO18" s="98"/>
      <c r="FP18" s="98"/>
      <c r="FQ18" s="98"/>
      <c r="FR18" s="98"/>
      <c r="FS18" s="98"/>
      <c r="FT18" s="98"/>
      <c r="FU18" s="98"/>
      <c r="FV18" s="98"/>
      <c r="FW18" s="98"/>
      <c r="FX18" s="98"/>
      <c r="FY18" s="98"/>
      <c r="FZ18" s="98"/>
      <c r="GA18" s="98"/>
      <c r="GB18" s="98"/>
      <c r="GC18" s="98"/>
      <c r="GD18" s="98"/>
      <c r="GE18" s="98"/>
      <c r="GF18" s="98"/>
      <c r="GG18" s="98"/>
      <c r="GH18" s="98"/>
      <c r="GI18" s="98"/>
      <c r="GJ18" s="98"/>
      <c r="GK18" s="98"/>
      <c r="GL18" s="98"/>
      <c r="GM18" s="98"/>
    </row>
    <row r="19" spans="1:195">
      <c r="A19" s="100">
        <v>70</v>
      </c>
      <c r="B19" s="98">
        <v>19</v>
      </c>
      <c r="C19" s="98" t="s">
        <v>269</v>
      </c>
      <c r="D19" s="126" t="s">
        <v>235</v>
      </c>
      <c r="E19" s="98"/>
      <c r="F19" s="98"/>
      <c r="G19" s="98" t="s">
        <v>15</v>
      </c>
      <c r="H19" s="98"/>
      <c r="I19" s="98"/>
      <c r="J19" s="98"/>
      <c r="K19" s="98"/>
      <c r="L19" s="98">
        <v>38.9</v>
      </c>
      <c r="M19" s="98"/>
      <c r="N19" s="98"/>
      <c r="O19" s="98"/>
      <c r="P19" s="137"/>
      <c r="Q19" s="128"/>
      <c r="R19" s="98"/>
      <c r="S19" s="97"/>
      <c r="T19" s="129">
        <v>1870000</v>
      </c>
      <c r="U19" s="129">
        <v>9.8000000000000007</v>
      </c>
      <c r="V19" s="127">
        <v>18326000</v>
      </c>
      <c r="W19" s="130"/>
      <c r="X19" s="129">
        <v>11.4</v>
      </c>
      <c r="Y19" s="98"/>
      <c r="Z19" s="98"/>
      <c r="AA19" s="129">
        <v>17.2</v>
      </c>
      <c r="AB19" s="98">
        <v>0.44</v>
      </c>
      <c r="AC19" s="98"/>
      <c r="AD19" s="98"/>
      <c r="AE19" s="98">
        <v>7627.5119999999988</v>
      </c>
      <c r="AF19" s="129"/>
      <c r="AG19" s="98"/>
      <c r="AH19" s="98"/>
      <c r="AI19" s="98"/>
      <c r="AJ19" s="98" t="s">
        <v>248</v>
      </c>
      <c r="AK19" s="133">
        <f t="shared" si="0"/>
        <v>1.5087719298245612</v>
      </c>
      <c r="AL19" s="134">
        <f t="shared" si="1"/>
        <v>1262.1967352977704</v>
      </c>
      <c r="AM19" s="135">
        <f t="shared" si="2"/>
        <v>0.85964912280701755</v>
      </c>
      <c r="AN19" s="135"/>
      <c r="AP19" s="136"/>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c r="CU19" s="98"/>
      <c r="CV19" s="98"/>
      <c r="CW19" s="98"/>
      <c r="CX19" s="98"/>
      <c r="CY19" s="98"/>
      <c r="CZ19" s="98"/>
      <c r="DA19" s="98"/>
      <c r="DB19" s="98"/>
      <c r="DC19" s="98"/>
      <c r="DD19" s="98"/>
      <c r="DE19" s="98"/>
      <c r="DF19" s="98"/>
      <c r="DG19" s="98"/>
      <c r="DH19" s="98"/>
      <c r="DI19" s="98"/>
      <c r="DJ19" s="98"/>
      <c r="DK19" s="98"/>
      <c r="DL19" s="98"/>
      <c r="DM19" s="98"/>
      <c r="DN19" s="98"/>
      <c r="DO19" s="98"/>
      <c r="DP19" s="98"/>
      <c r="DQ19" s="98"/>
      <c r="DR19" s="98"/>
      <c r="DS19" s="98"/>
      <c r="DT19" s="98"/>
      <c r="DU19" s="98"/>
      <c r="DV19" s="98"/>
      <c r="DW19" s="98"/>
      <c r="DX19" s="98"/>
      <c r="DY19" s="98"/>
      <c r="DZ19" s="98"/>
      <c r="EA19" s="98"/>
      <c r="EB19" s="98"/>
      <c r="EC19" s="98"/>
      <c r="ED19" s="98"/>
      <c r="EE19" s="98"/>
      <c r="EF19" s="98"/>
      <c r="EG19" s="98"/>
      <c r="EH19" s="98"/>
      <c r="EI19" s="98"/>
      <c r="EJ19" s="98"/>
      <c r="EK19" s="98"/>
      <c r="EL19" s="98"/>
      <c r="EM19" s="98"/>
      <c r="EN19" s="98"/>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8"/>
      <c r="FO19" s="98"/>
      <c r="FP19" s="98"/>
      <c r="FQ19" s="98"/>
      <c r="FR19" s="98"/>
      <c r="FS19" s="98"/>
      <c r="FT19" s="98"/>
      <c r="FU19" s="98"/>
      <c r="FV19" s="98"/>
      <c r="FW19" s="98"/>
      <c r="FX19" s="98"/>
      <c r="FY19" s="98"/>
      <c r="FZ19" s="98"/>
      <c r="GA19" s="98"/>
      <c r="GB19" s="98"/>
      <c r="GC19" s="98"/>
      <c r="GD19" s="98"/>
      <c r="GE19" s="98"/>
      <c r="GF19" s="98"/>
      <c r="GG19" s="98"/>
      <c r="GH19" s="98"/>
      <c r="GI19" s="98"/>
      <c r="GJ19" s="98"/>
      <c r="GK19" s="98"/>
      <c r="GL19" s="98"/>
      <c r="GM19" s="98"/>
    </row>
    <row r="20" spans="1:195">
      <c r="A20" s="100">
        <v>75</v>
      </c>
      <c r="B20" s="98">
        <v>20</v>
      </c>
      <c r="C20" s="98" t="s">
        <v>270</v>
      </c>
      <c r="D20" s="126" t="s">
        <v>235</v>
      </c>
      <c r="E20" s="98">
        <v>1925</v>
      </c>
      <c r="F20" s="98">
        <v>1936</v>
      </c>
      <c r="G20" s="98" t="s">
        <v>9</v>
      </c>
      <c r="H20" s="98" t="s">
        <v>271</v>
      </c>
      <c r="I20" s="98">
        <v>9.14</v>
      </c>
      <c r="J20" s="98">
        <v>4.9000000000000004</v>
      </c>
      <c r="K20" s="98"/>
      <c r="L20" s="98">
        <v>50.4</v>
      </c>
      <c r="M20" s="98">
        <v>3</v>
      </c>
      <c r="N20" s="98">
        <v>2</v>
      </c>
      <c r="O20" s="98">
        <v>563.9</v>
      </c>
      <c r="P20" s="137">
        <v>740000</v>
      </c>
      <c r="Q20" s="137"/>
      <c r="R20" s="98"/>
      <c r="S20" s="97"/>
      <c r="T20" s="129">
        <v>1180000</v>
      </c>
      <c r="U20" s="129">
        <v>9.44</v>
      </c>
      <c r="V20" s="127">
        <v>11139200</v>
      </c>
      <c r="W20" s="130"/>
      <c r="X20" s="129">
        <v>9.14</v>
      </c>
      <c r="Y20" s="98">
        <v>45.5</v>
      </c>
      <c r="Z20" s="98">
        <v>27.700000000000003</v>
      </c>
      <c r="AA20" s="129">
        <v>36.6</v>
      </c>
      <c r="AB20" s="98">
        <v>1</v>
      </c>
      <c r="AC20" s="131"/>
      <c r="AD20" s="131"/>
      <c r="AE20" s="98">
        <v>16860.009600000001</v>
      </c>
      <c r="AF20" s="129"/>
      <c r="AG20" s="98"/>
      <c r="AH20" s="98"/>
      <c r="AI20" s="98"/>
      <c r="AJ20" s="98" t="s">
        <v>268</v>
      </c>
      <c r="AK20" s="133">
        <f t="shared" si="0"/>
        <v>4.0043763676148796</v>
      </c>
      <c r="AL20" s="134">
        <f t="shared" si="1"/>
        <v>1545.4089394604432</v>
      </c>
      <c r="AM20" s="135">
        <f t="shared" si="2"/>
        <v>1.0328227571115973</v>
      </c>
      <c r="AN20" s="135"/>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c r="CU20" s="98"/>
      <c r="CV20" s="98"/>
      <c r="CW20" s="98"/>
      <c r="CX20" s="98"/>
      <c r="CY20" s="98"/>
      <c r="CZ20" s="98"/>
      <c r="DA20" s="98"/>
      <c r="DB20" s="98"/>
      <c r="DC20" s="98"/>
      <c r="DD20" s="98"/>
      <c r="DE20" s="98"/>
      <c r="DF20" s="98"/>
      <c r="DG20" s="98"/>
      <c r="DH20" s="98"/>
      <c r="DI20" s="98"/>
      <c r="DJ20" s="98"/>
      <c r="DK20" s="98"/>
      <c r="DL20" s="98"/>
      <c r="DM20" s="98"/>
      <c r="DN20" s="98"/>
      <c r="DO20" s="98"/>
      <c r="DP20" s="98"/>
      <c r="DQ20" s="98"/>
      <c r="DR20" s="98"/>
      <c r="DS20" s="98"/>
      <c r="DT20" s="98"/>
      <c r="DU20" s="98"/>
      <c r="DV20" s="98"/>
      <c r="DW20" s="98"/>
      <c r="DX20" s="98"/>
      <c r="DY20" s="98"/>
      <c r="DZ20" s="98"/>
      <c r="EA20" s="98"/>
      <c r="EB20" s="98"/>
      <c r="EC20" s="98"/>
      <c r="ED20" s="98"/>
      <c r="EE20" s="98"/>
      <c r="EF20" s="98"/>
      <c r="EG20" s="98"/>
      <c r="EH20" s="98"/>
      <c r="EI20" s="98"/>
      <c r="EJ20" s="98"/>
      <c r="EK20" s="98"/>
      <c r="EL20" s="98"/>
      <c r="EM20" s="98"/>
      <c r="EN20" s="98"/>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8"/>
      <c r="FO20" s="98"/>
      <c r="FP20" s="98"/>
      <c r="FQ20" s="98"/>
      <c r="FR20" s="98"/>
      <c r="FS20" s="98"/>
      <c r="FT20" s="98"/>
      <c r="FU20" s="98"/>
      <c r="FV20" s="98"/>
      <c r="FW20" s="98"/>
      <c r="FX20" s="98"/>
      <c r="FY20" s="98"/>
      <c r="FZ20" s="98"/>
      <c r="GA20" s="98"/>
      <c r="GB20" s="98"/>
      <c r="GC20" s="98"/>
      <c r="GD20" s="98"/>
      <c r="GE20" s="98"/>
      <c r="GF20" s="98"/>
      <c r="GG20" s="98"/>
      <c r="GH20" s="98"/>
      <c r="GI20" s="98"/>
      <c r="GJ20" s="98"/>
      <c r="GK20" s="98"/>
      <c r="GL20" s="98"/>
      <c r="GM20" s="98"/>
    </row>
    <row r="21" spans="1:195">
      <c r="A21" s="100">
        <v>77</v>
      </c>
      <c r="B21" s="98">
        <v>21</v>
      </c>
      <c r="C21" s="98" t="s">
        <v>272</v>
      </c>
      <c r="D21" s="126" t="s">
        <v>235</v>
      </c>
      <c r="E21" s="98"/>
      <c r="F21" s="98"/>
      <c r="G21" s="98" t="s">
        <v>15</v>
      </c>
      <c r="H21" s="98"/>
      <c r="I21" s="98"/>
      <c r="J21" s="98"/>
      <c r="K21" s="98"/>
      <c r="L21" s="98">
        <v>22.2</v>
      </c>
      <c r="M21" s="98"/>
      <c r="N21" s="98"/>
      <c r="O21" s="98"/>
      <c r="P21" s="137"/>
      <c r="Q21" s="137"/>
      <c r="R21" s="98"/>
      <c r="S21" s="97"/>
      <c r="T21" s="129">
        <v>425000</v>
      </c>
      <c r="U21" s="129">
        <v>6.55</v>
      </c>
      <c r="V21" s="127">
        <v>2783750</v>
      </c>
      <c r="W21" s="130"/>
      <c r="X21" s="129">
        <v>8.23</v>
      </c>
      <c r="Y21" s="98"/>
      <c r="Z21" s="98"/>
      <c r="AA21" s="129">
        <v>10.8</v>
      </c>
      <c r="AB21" s="98">
        <v>0.35</v>
      </c>
      <c r="AC21" s="131"/>
      <c r="AD21" s="131"/>
      <c r="AE21" s="98">
        <v>1973.2248000000002</v>
      </c>
      <c r="AF21" s="129"/>
      <c r="AG21" s="98"/>
      <c r="AH21" s="98"/>
      <c r="AI21" s="98"/>
      <c r="AJ21" s="98" t="s">
        <v>248</v>
      </c>
      <c r="AK21" s="133">
        <f t="shared" si="0"/>
        <v>1.3122721749696233</v>
      </c>
      <c r="AL21" s="134">
        <f t="shared" si="1"/>
        <v>762.41147534967536</v>
      </c>
      <c r="AM21" s="135">
        <f t="shared" si="2"/>
        <v>0.79586877278250301</v>
      </c>
      <c r="AN21" s="135"/>
      <c r="AP21" s="145"/>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c r="CU21" s="98"/>
      <c r="CV21" s="98"/>
      <c r="CW21" s="98"/>
      <c r="CX21" s="98"/>
      <c r="CY21" s="98"/>
      <c r="CZ21" s="98"/>
      <c r="DA21" s="98"/>
      <c r="DB21" s="98"/>
      <c r="DC21" s="98"/>
      <c r="DD21" s="98"/>
      <c r="DE21" s="98"/>
      <c r="DF21" s="98"/>
      <c r="DG21" s="98"/>
      <c r="DH21" s="98"/>
      <c r="DI21" s="98"/>
      <c r="DJ21" s="98"/>
      <c r="DK21" s="98"/>
      <c r="DL21" s="98"/>
      <c r="DM21" s="98"/>
      <c r="DN21" s="98"/>
      <c r="DO21" s="98"/>
      <c r="DP21" s="98"/>
      <c r="DQ21" s="98"/>
      <c r="DR21" s="98"/>
      <c r="DS21" s="98"/>
      <c r="DT21" s="98"/>
      <c r="DU21" s="98"/>
      <c r="DV21" s="98"/>
      <c r="DW21" s="98"/>
      <c r="DX21" s="98"/>
      <c r="DY21" s="98"/>
      <c r="DZ21" s="98"/>
      <c r="EA21" s="98"/>
      <c r="EB21" s="98"/>
      <c r="EC21" s="98"/>
      <c r="ED21" s="98"/>
      <c r="EE21" s="98"/>
      <c r="EF21" s="98"/>
      <c r="EG21" s="98"/>
      <c r="EH21" s="98"/>
      <c r="EI21" s="98"/>
      <c r="EJ21" s="98"/>
      <c r="EK21" s="98"/>
      <c r="EL21" s="98"/>
      <c r="EM21" s="98"/>
      <c r="EN21" s="98"/>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8"/>
      <c r="FO21" s="98"/>
      <c r="FP21" s="98"/>
      <c r="FQ21" s="98"/>
      <c r="FR21" s="98"/>
      <c r="FS21" s="98"/>
      <c r="FT21" s="98"/>
      <c r="FU21" s="98"/>
      <c r="FV21" s="98"/>
      <c r="FW21" s="98"/>
      <c r="FX21" s="98"/>
      <c r="FY21" s="98"/>
      <c r="FZ21" s="98"/>
      <c r="GA21" s="98"/>
      <c r="GB21" s="98"/>
      <c r="GC21" s="98"/>
      <c r="GD21" s="98"/>
      <c r="GE21" s="98"/>
      <c r="GF21" s="98"/>
      <c r="GG21" s="98"/>
      <c r="GH21" s="98"/>
      <c r="GI21" s="98"/>
      <c r="GJ21" s="98"/>
      <c r="GK21" s="98"/>
      <c r="GL21" s="98"/>
      <c r="GM21" s="98"/>
    </row>
    <row r="22" spans="1:195">
      <c r="A22" s="100">
        <v>85</v>
      </c>
      <c r="B22" s="98">
        <v>24</v>
      </c>
      <c r="C22" s="98" t="s">
        <v>273</v>
      </c>
      <c r="D22" s="126" t="s">
        <v>235</v>
      </c>
      <c r="E22" s="98"/>
      <c r="F22" s="98"/>
      <c r="G22" s="98" t="s">
        <v>15</v>
      </c>
      <c r="H22" s="98"/>
      <c r="I22" s="98"/>
      <c r="J22" s="98"/>
      <c r="K22" s="98"/>
      <c r="L22" s="98">
        <v>21.3</v>
      </c>
      <c r="M22" s="98"/>
      <c r="N22" s="98"/>
      <c r="O22" s="98"/>
      <c r="P22" s="127"/>
      <c r="Q22" s="128"/>
      <c r="R22" s="98"/>
      <c r="S22" s="97"/>
      <c r="T22" s="129">
        <v>493000</v>
      </c>
      <c r="U22" s="129">
        <v>11.1</v>
      </c>
      <c r="V22" s="127">
        <v>5472300</v>
      </c>
      <c r="W22" s="130"/>
      <c r="X22" s="129">
        <v>12.6</v>
      </c>
      <c r="Y22" s="98"/>
      <c r="Z22" s="98"/>
      <c r="AA22" s="129">
        <v>7.62</v>
      </c>
      <c r="AB22" s="98">
        <v>0.36</v>
      </c>
      <c r="AC22" s="131"/>
      <c r="AD22" s="131"/>
      <c r="AE22" s="98">
        <v>2045.0556000000001</v>
      </c>
      <c r="AF22" s="129"/>
      <c r="AG22" s="98"/>
      <c r="AH22" s="98"/>
      <c r="AI22" s="98"/>
      <c r="AJ22" s="98" t="s">
        <v>248</v>
      </c>
      <c r="AK22" s="133">
        <f t="shared" si="0"/>
        <v>0.60476190476190483</v>
      </c>
      <c r="AL22" s="134">
        <f t="shared" si="1"/>
        <v>246.45366671065844</v>
      </c>
      <c r="AM22" s="135">
        <f t="shared" si="2"/>
        <v>0.88095238095238093</v>
      </c>
      <c r="AN22" s="135"/>
      <c r="AP22" s="144"/>
      <c r="AQ22" s="140"/>
      <c r="AR22" s="142"/>
      <c r="AS22" s="146"/>
      <c r="AT22" s="142"/>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c r="CU22" s="98"/>
      <c r="CV22" s="98"/>
      <c r="CW22" s="98"/>
      <c r="CX22" s="98"/>
      <c r="CY22" s="98"/>
      <c r="CZ22" s="98"/>
      <c r="DA22" s="98"/>
      <c r="DB22" s="98"/>
      <c r="DC22" s="98"/>
      <c r="DD22" s="98"/>
      <c r="DE22" s="98"/>
      <c r="DF22" s="98"/>
      <c r="DG22" s="98"/>
      <c r="DH22" s="98"/>
      <c r="DI22" s="98"/>
      <c r="DJ22" s="98"/>
      <c r="DK22" s="98"/>
      <c r="DL22" s="98"/>
      <c r="DM22" s="98"/>
      <c r="DN22" s="98"/>
      <c r="DO22" s="98"/>
      <c r="DP22" s="98"/>
      <c r="DQ22" s="98"/>
      <c r="DR22" s="98"/>
      <c r="DS22" s="98"/>
      <c r="DT22" s="98"/>
      <c r="DU22" s="98"/>
      <c r="DV22" s="98"/>
      <c r="DW22" s="98"/>
      <c r="DX22" s="98"/>
      <c r="DY22" s="98"/>
      <c r="DZ22" s="98"/>
      <c r="EA22" s="98"/>
      <c r="EB22" s="98"/>
      <c r="EC22" s="98"/>
      <c r="ED22" s="98"/>
      <c r="EE22" s="98"/>
      <c r="EF22" s="98"/>
      <c r="EG22" s="98"/>
      <c r="EH22" s="98"/>
      <c r="EI22" s="98"/>
      <c r="EJ22" s="98"/>
      <c r="EK22" s="98"/>
      <c r="EL22" s="98"/>
      <c r="EM22" s="98"/>
      <c r="EN22" s="98"/>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8"/>
      <c r="FO22" s="98"/>
      <c r="FP22" s="98"/>
      <c r="FQ22" s="98"/>
      <c r="FR22" s="98"/>
      <c r="FS22" s="98"/>
      <c r="FT22" s="98"/>
      <c r="FU22" s="98"/>
      <c r="FV22" s="98"/>
      <c r="FW22" s="98"/>
      <c r="FX22" s="98"/>
      <c r="FY22" s="98"/>
      <c r="FZ22" s="98"/>
      <c r="GA22" s="98"/>
      <c r="GB22" s="98"/>
      <c r="GC22" s="98"/>
      <c r="GD22" s="98"/>
      <c r="GE22" s="98"/>
      <c r="GF22" s="98"/>
      <c r="GG22" s="98"/>
      <c r="GH22" s="98"/>
      <c r="GI22" s="98"/>
      <c r="GJ22" s="98"/>
      <c r="GK22" s="98"/>
      <c r="GL22" s="98"/>
      <c r="GM22" s="98"/>
    </row>
    <row r="23" spans="1:195">
      <c r="A23" s="100">
        <v>88</v>
      </c>
      <c r="B23" s="98">
        <v>25</v>
      </c>
      <c r="C23" s="98" t="s">
        <v>274</v>
      </c>
      <c r="D23" s="126" t="s">
        <v>235</v>
      </c>
      <c r="E23" s="98">
        <v>1975</v>
      </c>
      <c r="F23" s="98">
        <v>1977</v>
      </c>
      <c r="G23" s="98" t="s">
        <v>15</v>
      </c>
      <c r="H23" s="98" t="s">
        <v>8</v>
      </c>
      <c r="I23" s="98">
        <v>9.75</v>
      </c>
      <c r="J23" s="98"/>
      <c r="K23" s="98"/>
      <c r="L23" s="98"/>
      <c r="M23" s="98"/>
      <c r="N23" s="98"/>
      <c r="O23" s="98"/>
      <c r="P23" s="137">
        <v>350000</v>
      </c>
      <c r="Q23" s="128"/>
      <c r="R23" s="98">
        <v>79</v>
      </c>
      <c r="S23" s="97" t="s">
        <v>275</v>
      </c>
      <c r="T23" s="139">
        <v>351542</v>
      </c>
      <c r="U23" s="129">
        <v>8.23</v>
      </c>
      <c r="V23" s="127">
        <v>2893190.66</v>
      </c>
      <c r="W23" s="130" t="s">
        <v>238</v>
      </c>
      <c r="X23" s="129">
        <v>9.75</v>
      </c>
      <c r="Y23" s="98">
        <v>9.1999999999999993</v>
      </c>
      <c r="Z23" s="98">
        <v>4.5999999999999996</v>
      </c>
      <c r="AA23" s="129">
        <v>6.9</v>
      </c>
      <c r="AB23" s="98">
        <v>0.4</v>
      </c>
      <c r="AC23" s="131">
        <v>0.4</v>
      </c>
      <c r="AD23" s="131">
        <v>0.4</v>
      </c>
      <c r="AE23" s="98">
        <v>1292</v>
      </c>
      <c r="AF23" s="129"/>
      <c r="AG23" s="98">
        <v>2.5</v>
      </c>
      <c r="AH23" s="98">
        <v>0.25</v>
      </c>
      <c r="AI23" s="98"/>
      <c r="AJ23" s="98" t="s">
        <v>276</v>
      </c>
      <c r="AK23" s="133">
        <f t="shared" si="0"/>
        <v>0.70769230769230773</v>
      </c>
      <c r="AL23" s="134">
        <f t="shared" si="1"/>
        <v>379.2829953303326</v>
      </c>
      <c r="AM23" s="135">
        <f t="shared" si="2"/>
        <v>0.84410256410256412</v>
      </c>
      <c r="AN23" s="135"/>
      <c r="AP23" s="144"/>
      <c r="AQ23" s="147"/>
      <c r="AR23" s="14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c r="CU23" s="98"/>
      <c r="CV23" s="98"/>
      <c r="CW23" s="98"/>
      <c r="CX23" s="98"/>
      <c r="CY23" s="98"/>
      <c r="CZ23" s="98"/>
      <c r="DA23" s="98"/>
      <c r="DB23" s="98"/>
      <c r="DC23" s="98"/>
      <c r="DD23" s="98"/>
      <c r="DE23" s="98"/>
      <c r="DF23" s="98"/>
      <c r="DG23" s="98"/>
      <c r="DH23" s="98"/>
      <c r="DI23" s="98"/>
      <c r="DJ23" s="98"/>
      <c r="DK23" s="98"/>
      <c r="DL23" s="98"/>
      <c r="DM23" s="98"/>
      <c r="DN23" s="98"/>
      <c r="DO23" s="98"/>
      <c r="DP23" s="98"/>
      <c r="DQ23" s="98"/>
      <c r="DR23" s="98"/>
      <c r="DS23" s="98"/>
      <c r="DT23" s="98"/>
      <c r="DU23" s="98"/>
      <c r="DV23" s="98"/>
      <c r="DW23" s="98"/>
      <c r="DX23" s="98"/>
      <c r="DY23" s="98"/>
      <c r="DZ23" s="98"/>
      <c r="EA23" s="98"/>
      <c r="EB23" s="98"/>
      <c r="EC23" s="98"/>
      <c r="ED23" s="98"/>
      <c r="EE23" s="98"/>
      <c r="EF23" s="98"/>
      <c r="EG23" s="98"/>
      <c r="EH23" s="98"/>
      <c r="EI23" s="98"/>
      <c r="EJ23" s="98"/>
      <c r="EK23" s="98"/>
      <c r="EL23" s="98"/>
      <c r="EM23" s="98"/>
      <c r="EN23" s="98"/>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8"/>
      <c r="FO23" s="98"/>
      <c r="FP23" s="98"/>
      <c r="FQ23" s="98"/>
      <c r="FR23" s="98"/>
      <c r="FS23" s="98"/>
      <c r="FT23" s="98"/>
      <c r="FU23" s="98"/>
      <c r="FV23" s="98"/>
      <c r="FW23" s="98"/>
      <c r="FX23" s="98"/>
      <c r="FY23" s="98"/>
      <c r="FZ23" s="98"/>
      <c r="GA23" s="98"/>
      <c r="GB23" s="98"/>
      <c r="GC23" s="98"/>
      <c r="GD23" s="98"/>
      <c r="GE23" s="98"/>
      <c r="GF23" s="98"/>
      <c r="GG23" s="98"/>
      <c r="GH23" s="98"/>
      <c r="GI23" s="98"/>
      <c r="GJ23" s="98"/>
      <c r="GK23" s="98"/>
      <c r="GL23" s="98"/>
      <c r="GM23" s="98"/>
    </row>
    <row r="24" spans="1:195">
      <c r="A24" s="100">
        <v>99</v>
      </c>
      <c r="B24" s="98">
        <v>27</v>
      </c>
      <c r="C24" s="98" t="s">
        <v>277</v>
      </c>
      <c r="D24" s="126" t="s">
        <v>235</v>
      </c>
      <c r="E24" s="98">
        <v>1925</v>
      </c>
      <c r="F24" s="98">
        <v>1925</v>
      </c>
      <c r="G24" s="98" t="s">
        <v>15</v>
      </c>
      <c r="H24" s="98" t="s">
        <v>241</v>
      </c>
      <c r="I24" s="98">
        <v>12.19</v>
      </c>
      <c r="J24" s="98">
        <v>2.4</v>
      </c>
      <c r="K24" s="98"/>
      <c r="L24" s="98">
        <v>34.299999999999997</v>
      </c>
      <c r="M24" s="98">
        <v>2</v>
      </c>
      <c r="N24" s="98">
        <v>2.5</v>
      </c>
      <c r="O24" s="98"/>
      <c r="P24" s="98"/>
      <c r="Q24" s="128"/>
      <c r="R24" s="98">
        <v>929</v>
      </c>
      <c r="S24" s="97" t="s">
        <v>278</v>
      </c>
      <c r="T24" s="129">
        <v>3870000</v>
      </c>
      <c r="U24" s="129">
        <v>8.5299999999999994</v>
      </c>
      <c r="V24" s="127">
        <v>33011099.999999996</v>
      </c>
      <c r="W24" s="130" t="s">
        <v>238</v>
      </c>
      <c r="X24" s="129">
        <v>14.2</v>
      </c>
      <c r="Y24" s="98">
        <v>41</v>
      </c>
      <c r="Z24" s="98">
        <v>13.799999999999997</v>
      </c>
      <c r="AA24" s="129">
        <v>27.4</v>
      </c>
      <c r="AB24" s="98">
        <v>0.97</v>
      </c>
      <c r="AC24" s="131"/>
      <c r="AD24" s="131"/>
      <c r="AE24" s="98">
        <v>13762</v>
      </c>
      <c r="AF24" s="129">
        <v>0.58333333333333337</v>
      </c>
      <c r="AG24" s="98">
        <v>0.57999999999999996</v>
      </c>
      <c r="AH24" s="98">
        <v>0.57999999999999996</v>
      </c>
      <c r="AI24" s="98"/>
      <c r="AJ24" s="98" t="s">
        <v>279</v>
      </c>
      <c r="AK24" s="133">
        <f t="shared" si="0"/>
        <v>1.9295774647887325</v>
      </c>
      <c r="AL24" s="134">
        <f t="shared" si="1"/>
        <v>1351.5929937889589</v>
      </c>
      <c r="AM24" s="135">
        <f t="shared" si="2"/>
        <v>0.60070422535211265</v>
      </c>
      <c r="AN24" s="135">
        <f>3600*AF24*SQRT(9.81/X24)</f>
        <v>1745.4588968415671</v>
      </c>
      <c r="AP24" s="141"/>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c r="CU24" s="98"/>
      <c r="CV24" s="98"/>
      <c r="CW24" s="98"/>
      <c r="CX24" s="98"/>
      <c r="CY24" s="98"/>
      <c r="CZ24" s="98"/>
      <c r="DA24" s="98"/>
      <c r="DB24" s="98"/>
      <c r="DC24" s="98"/>
      <c r="DD24" s="98"/>
      <c r="DE24" s="98"/>
      <c r="DF24" s="98"/>
      <c r="DG24" s="98"/>
      <c r="DH24" s="98"/>
      <c r="DI24" s="98"/>
      <c r="DJ24" s="98"/>
      <c r="DK24" s="98"/>
      <c r="DL24" s="98"/>
      <c r="DM24" s="98"/>
      <c r="DN24" s="98"/>
      <c r="DO24" s="98"/>
      <c r="DP24" s="98"/>
      <c r="DQ24" s="98"/>
      <c r="DR24" s="98"/>
      <c r="DS24" s="98"/>
      <c r="DT24" s="98"/>
      <c r="DU24" s="98"/>
      <c r="DV24" s="98"/>
      <c r="DW24" s="98"/>
      <c r="DX24" s="98"/>
      <c r="DY24" s="98"/>
      <c r="DZ24" s="98"/>
      <c r="EA24" s="98"/>
      <c r="EB24" s="98"/>
      <c r="EC24" s="98"/>
      <c r="ED24" s="98"/>
      <c r="EE24" s="98"/>
      <c r="EF24" s="98"/>
      <c r="EG24" s="98"/>
      <c r="EH24" s="98"/>
      <c r="EI24" s="98"/>
      <c r="EJ24" s="98"/>
      <c r="EK24" s="98"/>
      <c r="EL24" s="98"/>
      <c r="EM24" s="98"/>
      <c r="EN24" s="98"/>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8"/>
      <c r="FO24" s="98"/>
      <c r="FP24" s="98"/>
      <c r="FQ24" s="98"/>
      <c r="FR24" s="98"/>
      <c r="FS24" s="98"/>
      <c r="FT24" s="98"/>
      <c r="FU24" s="98"/>
      <c r="FV24" s="98"/>
      <c r="FW24" s="98"/>
      <c r="FX24" s="98"/>
      <c r="FY24" s="98"/>
      <c r="FZ24" s="98"/>
      <c r="GA24" s="98"/>
      <c r="GB24" s="98"/>
      <c r="GC24" s="98"/>
      <c r="GD24" s="98"/>
      <c r="GE24" s="98"/>
      <c r="GF24" s="98"/>
      <c r="GG24" s="98"/>
      <c r="GH24" s="98"/>
      <c r="GI24" s="98"/>
      <c r="GJ24" s="98"/>
      <c r="GK24" s="98"/>
      <c r="GL24" s="98"/>
      <c r="GM24" s="98"/>
    </row>
    <row r="25" spans="1:195">
      <c r="A25" s="100">
        <v>106</v>
      </c>
      <c r="B25" s="98">
        <v>28</v>
      </c>
      <c r="C25" s="98" t="s">
        <v>280</v>
      </c>
      <c r="D25" s="126" t="s">
        <v>235</v>
      </c>
      <c r="E25" s="98">
        <v>1952</v>
      </c>
      <c r="F25" s="98">
        <v>1952</v>
      </c>
      <c r="G25" s="98" t="s">
        <v>15</v>
      </c>
      <c r="H25" s="98" t="s">
        <v>241</v>
      </c>
      <c r="I25" s="98">
        <v>12.5</v>
      </c>
      <c r="J25" s="98">
        <v>6.1</v>
      </c>
      <c r="K25" s="98"/>
      <c r="L25" s="98">
        <v>37.299999999999997</v>
      </c>
      <c r="M25" s="98">
        <v>3</v>
      </c>
      <c r="N25" s="98">
        <v>2</v>
      </c>
      <c r="O25" s="98"/>
      <c r="P25" s="137">
        <v>21000000</v>
      </c>
      <c r="Q25" s="128"/>
      <c r="R25" s="98">
        <v>1420</v>
      </c>
      <c r="S25" s="97" t="s">
        <v>275</v>
      </c>
      <c r="T25" s="129">
        <v>16000000</v>
      </c>
      <c r="U25" s="129">
        <v>10.8</v>
      </c>
      <c r="V25" s="127">
        <v>172800000</v>
      </c>
      <c r="W25" s="130" t="s">
        <v>238</v>
      </c>
      <c r="X25" s="129">
        <v>12.5</v>
      </c>
      <c r="Y25" s="98">
        <v>67</v>
      </c>
      <c r="Z25" s="98">
        <v>54.4</v>
      </c>
      <c r="AA25" s="129">
        <v>54.6</v>
      </c>
      <c r="AB25" s="98">
        <v>0.5</v>
      </c>
      <c r="AC25" s="98">
        <v>0.5</v>
      </c>
      <c r="AD25" s="98">
        <v>0.5</v>
      </c>
      <c r="AE25" s="98">
        <v>28365</v>
      </c>
      <c r="AF25" s="129"/>
      <c r="AG25" s="98"/>
      <c r="AH25" s="98"/>
      <c r="AI25" s="98"/>
      <c r="AJ25" s="98" t="s">
        <v>279</v>
      </c>
      <c r="AK25" s="133">
        <f t="shared" si="0"/>
        <v>4.3680000000000003</v>
      </c>
      <c r="AL25" s="134">
        <f t="shared" si="1"/>
        <v>8192</v>
      </c>
      <c r="AM25" s="135">
        <f t="shared" si="2"/>
        <v>0.8640000000000001</v>
      </c>
      <c r="AN25" s="135"/>
      <c r="AP25" s="141"/>
      <c r="AQ25" s="149"/>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c r="CU25" s="98"/>
      <c r="CV25" s="98"/>
      <c r="CW25" s="98"/>
      <c r="CX25" s="98"/>
      <c r="CY25" s="98"/>
      <c r="CZ25" s="98"/>
      <c r="DA25" s="98"/>
      <c r="DB25" s="98"/>
      <c r="DC25" s="98"/>
      <c r="DD25" s="98"/>
      <c r="DE25" s="98"/>
      <c r="DF25" s="98"/>
      <c r="DG25" s="98"/>
      <c r="DH25" s="98"/>
      <c r="DI25" s="98"/>
      <c r="DJ25" s="98"/>
      <c r="DK25" s="98"/>
      <c r="DL25" s="98"/>
      <c r="DM25" s="98"/>
      <c r="DN25" s="98"/>
      <c r="DO25" s="98"/>
      <c r="DP25" s="98"/>
      <c r="DQ25" s="98"/>
      <c r="DR25" s="98"/>
      <c r="DS25" s="98"/>
      <c r="DT25" s="98"/>
      <c r="DU25" s="98"/>
      <c r="DV25" s="98"/>
      <c r="DW25" s="98"/>
      <c r="DX25" s="98"/>
      <c r="DY25" s="98"/>
      <c r="DZ25" s="98"/>
      <c r="EA25" s="98"/>
      <c r="EB25" s="98"/>
      <c r="EC25" s="98"/>
      <c r="ED25" s="98"/>
      <c r="EE25" s="98"/>
      <c r="EF25" s="98"/>
      <c r="EG25" s="98"/>
      <c r="EH25" s="98"/>
      <c r="EI25" s="98"/>
      <c r="EJ25" s="98"/>
      <c r="EK25" s="98"/>
      <c r="EL25" s="98"/>
      <c r="EM25" s="98"/>
      <c r="EN25" s="98"/>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8"/>
      <c r="FO25" s="98"/>
      <c r="FP25" s="98"/>
      <c r="FQ25" s="98"/>
      <c r="FR25" s="98"/>
      <c r="FS25" s="98"/>
      <c r="FT25" s="98"/>
      <c r="FU25" s="98"/>
      <c r="FV25" s="98"/>
      <c r="FW25" s="98"/>
      <c r="FX25" s="98"/>
      <c r="FY25" s="98"/>
      <c r="FZ25" s="98"/>
      <c r="GA25" s="98"/>
      <c r="GB25" s="98"/>
      <c r="GC25" s="98"/>
      <c r="GD25" s="98"/>
      <c r="GE25" s="98"/>
      <c r="GF25" s="98"/>
      <c r="GG25" s="98"/>
      <c r="GH25" s="98"/>
      <c r="GI25" s="98"/>
      <c r="GJ25" s="98"/>
      <c r="GK25" s="98"/>
      <c r="GL25" s="98"/>
      <c r="GM25" s="98"/>
    </row>
    <row r="26" spans="1:195">
      <c r="A26" s="100">
        <v>113</v>
      </c>
      <c r="B26" s="98">
        <v>30</v>
      </c>
      <c r="C26" s="98" t="s">
        <v>281</v>
      </c>
      <c r="D26" s="126" t="s">
        <v>235</v>
      </c>
      <c r="E26" s="98">
        <v>1903</v>
      </c>
      <c r="F26" s="98">
        <v>1916</v>
      </c>
      <c r="G26" s="98" t="s">
        <v>9</v>
      </c>
      <c r="H26" s="98" t="s">
        <v>8</v>
      </c>
      <c r="I26" s="98">
        <v>6.1</v>
      </c>
      <c r="J26" s="98">
        <v>3</v>
      </c>
      <c r="K26" s="98"/>
      <c r="L26" s="98"/>
      <c r="M26" s="98">
        <v>1.5</v>
      </c>
      <c r="N26" s="98">
        <v>1.5</v>
      </c>
      <c r="O26" s="98"/>
      <c r="P26" s="127">
        <v>10600000</v>
      </c>
      <c r="Q26" s="128"/>
      <c r="R26" s="98">
        <v>565</v>
      </c>
      <c r="S26" s="97" t="s">
        <v>275</v>
      </c>
      <c r="T26" s="139">
        <v>10600000</v>
      </c>
      <c r="U26" s="129">
        <v>1.37</v>
      </c>
      <c r="V26" s="127">
        <v>14522000.000000002</v>
      </c>
      <c r="W26" s="130" t="s">
        <v>238</v>
      </c>
      <c r="X26" s="129">
        <v>4.0999999999999996</v>
      </c>
      <c r="Y26" s="98">
        <v>30.5</v>
      </c>
      <c r="Z26" s="98">
        <v>22.3</v>
      </c>
      <c r="AA26" s="129">
        <v>26.4</v>
      </c>
      <c r="AB26" s="98">
        <v>0.5</v>
      </c>
      <c r="AC26" s="98">
        <v>0.5</v>
      </c>
      <c r="AD26" s="98">
        <v>0.5</v>
      </c>
      <c r="AE26" s="98">
        <v>1070</v>
      </c>
      <c r="AF26" s="129"/>
      <c r="AG26" s="98">
        <v>0.5</v>
      </c>
      <c r="AH26" s="98">
        <v>0.5</v>
      </c>
      <c r="AI26" s="98"/>
      <c r="AJ26" s="98" t="s">
        <v>282</v>
      </c>
      <c r="AK26" s="133">
        <f t="shared" si="0"/>
        <v>6.4390243902439028</v>
      </c>
      <c r="AL26" s="134">
        <f t="shared" si="1"/>
        <v>153799.2774335834</v>
      </c>
      <c r="AM26" s="135">
        <f t="shared" si="2"/>
        <v>0.33414634146341471</v>
      </c>
      <c r="AN26" s="135"/>
      <c r="AP26" s="141"/>
      <c r="AQ26" s="149"/>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c r="CU26" s="98"/>
      <c r="CV26" s="98"/>
      <c r="CW26" s="98"/>
      <c r="CX26" s="98"/>
      <c r="CY26" s="98"/>
      <c r="CZ26" s="98"/>
      <c r="DA26" s="98"/>
      <c r="DB26" s="98"/>
      <c r="DC26" s="98"/>
      <c r="DD26" s="98"/>
      <c r="DE26" s="98"/>
      <c r="DF26" s="98"/>
      <c r="DG26" s="98"/>
      <c r="DH26" s="98"/>
      <c r="DI26" s="98"/>
      <c r="DJ26" s="98"/>
      <c r="DK26" s="98"/>
      <c r="DL26" s="98"/>
      <c r="DM26" s="98"/>
      <c r="DN26" s="98"/>
      <c r="DO26" s="98"/>
      <c r="DP26" s="98"/>
      <c r="DQ26" s="98"/>
      <c r="DR26" s="98"/>
      <c r="DS26" s="98"/>
      <c r="DT26" s="98"/>
      <c r="DU26" s="98"/>
      <c r="DV26" s="98"/>
      <c r="DW26" s="98"/>
      <c r="DX26" s="98"/>
      <c r="DY26" s="98"/>
      <c r="DZ26" s="98"/>
      <c r="EA26" s="98"/>
      <c r="EB26" s="98"/>
      <c r="EC26" s="98"/>
      <c r="ED26" s="98"/>
      <c r="EE26" s="98"/>
      <c r="EF26" s="98"/>
      <c r="EG26" s="98"/>
      <c r="EH26" s="98"/>
      <c r="EI26" s="98"/>
      <c r="EJ26" s="98"/>
      <c r="EK26" s="98"/>
      <c r="EL26" s="98"/>
      <c r="EM26" s="98"/>
      <c r="EN26" s="98"/>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8"/>
      <c r="FO26" s="98"/>
      <c r="FP26" s="98"/>
      <c r="FQ26" s="98"/>
      <c r="FR26" s="98"/>
      <c r="FS26" s="98"/>
      <c r="FT26" s="98"/>
      <c r="FU26" s="98"/>
      <c r="FV26" s="98"/>
      <c r="FW26" s="98"/>
      <c r="FX26" s="98"/>
      <c r="FY26" s="98"/>
      <c r="FZ26" s="98"/>
      <c r="GA26" s="98"/>
      <c r="GB26" s="98"/>
      <c r="GC26" s="98"/>
      <c r="GD26" s="98"/>
      <c r="GE26" s="98"/>
      <c r="GF26" s="98"/>
      <c r="GG26" s="98"/>
      <c r="GH26" s="98"/>
      <c r="GI26" s="98"/>
      <c r="GJ26" s="98"/>
      <c r="GK26" s="98"/>
      <c r="GL26" s="98"/>
      <c r="GM26" s="98"/>
    </row>
    <row r="27" spans="1:195">
      <c r="A27" s="100">
        <v>117</v>
      </c>
      <c r="B27" s="98">
        <v>31</v>
      </c>
      <c r="C27" s="98" t="s">
        <v>283</v>
      </c>
      <c r="D27" s="126" t="s">
        <v>235</v>
      </c>
      <c r="E27" s="98">
        <v>1874</v>
      </c>
      <c r="F27" s="98">
        <v>1900</v>
      </c>
      <c r="G27" s="98" t="s">
        <v>9</v>
      </c>
      <c r="H27" s="98" t="s">
        <v>284</v>
      </c>
      <c r="I27" s="98">
        <v>7.62</v>
      </c>
      <c r="J27" s="98">
        <v>3.7</v>
      </c>
      <c r="K27" s="98"/>
      <c r="L27" s="98">
        <v>14.8</v>
      </c>
      <c r="M27" s="98">
        <v>1.5</v>
      </c>
      <c r="N27" s="98">
        <v>1.5</v>
      </c>
      <c r="O27" s="98">
        <v>440.5</v>
      </c>
      <c r="P27" s="137">
        <v>220000</v>
      </c>
      <c r="Q27" s="137"/>
      <c r="R27" s="98"/>
      <c r="S27" s="97"/>
      <c r="T27" s="129">
        <v>25500</v>
      </c>
      <c r="U27" s="129">
        <v>6.4</v>
      </c>
      <c r="V27" s="127">
        <v>163200</v>
      </c>
      <c r="W27" s="130"/>
      <c r="X27" s="129">
        <v>6.4</v>
      </c>
      <c r="Y27" s="98">
        <v>12.2</v>
      </c>
      <c r="Z27" s="98">
        <v>6</v>
      </c>
      <c r="AA27" s="129">
        <v>19</v>
      </c>
      <c r="AB27" s="98">
        <v>2.2599999999999998</v>
      </c>
      <c r="AC27" s="131"/>
      <c r="AD27" s="131"/>
      <c r="AE27" s="98">
        <v>1799.6800000000003</v>
      </c>
      <c r="AF27" s="129"/>
      <c r="AG27" s="98">
        <v>0.5</v>
      </c>
      <c r="AH27" s="98"/>
      <c r="AI27" s="98" t="s">
        <v>267</v>
      </c>
      <c r="AJ27" s="98" t="s">
        <v>285</v>
      </c>
      <c r="AK27" s="133">
        <f t="shared" si="0"/>
        <v>2.96875</v>
      </c>
      <c r="AL27" s="134">
        <f t="shared" si="1"/>
        <v>97.274780273437472</v>
      </c>
      <c r="AM27" s="135">
        <f t="shared" si="2"/>
        <v>1</v>
      </c>
      <c r="AN27" s="135"/>
      <c r="AP27" s="144"/>
      <c r="AQ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c r="CU27" s="98"/>
      <c r="CV27" s="98"/>
      <c r="CW27" s="98"/>
      <c r="CX27" s="98"/>
      <c r="CY27" s="98"/>
      <c r="CZ27" s="98"/>
      <c r="DA27" s="98"/>
      <c r="DB27" s="98"/>
      <c r="DC27" s="98"/>
      <c r="DD27" s="98"/>
      <c r="DE27" s="98"/>
      <c r="DF27" s="98"/>
      <c r="DG27" s="98"/>
      <c r="DH27" s="98"/>
      <c r="DI27" s="98"/>
      <c r="DJ27" s="98"/>
      <c r="DK27" s="98"/>
      <c r="DL27" s="98"/>
      <c r="DM27" s="98"/>
      <c r="DN27" s="98"/>
      <c r="DO27" s="98"/>
      <c r="DP27" s="98"/>
      <c r="DQ27" s="98"/>
      <c r="DR27" s="98"/>
      <c r="DS27" s="98"/>
      <c r="DT27" s="98"/>
      <c r="DU27" s="98"/>
      <c r="DV27" s="98"/>
      <c r="DW27" s="98"/>
      <c r="DX27" s="98"/>
      <c r="DY27" s="98"/>
      <c r="DZ27" s="98"/>
      <c r="EA27" s="98"/>
      <c r="EB27" s="98"/>
      <c r="EC27" s="98"/>
      <c r="ED27" s="98"/>
      <c r="EE27" s="98"/>
      <c r="EF27" s="98"/>
      <c r="EG27" s="98"/>
      <c r="EH27" s="98"/>
      <c r="EI27" s="98"/>
      <c r="EJ27" s="98"/>
      <c r="EK27" s="98"/>
      <c r="EL27" s="98"/>
      <c r="EM27" s="98"/>
      <c r="EN27" s="98"/>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8"/>
      <c r="FO27" s="98"/>
      <c r="FP27" s="98"/>
      <c r="FQ27" s="98"/>
      <c r="FR27" s="98"/>
      <c r="FS27" s="98"/>
      <c r="FT27" s="98"/>
      <c r="FU27" s="98"/>
      <c r="FV27" s="98"/>
      <c r="FW27" s="98"/>
      <c r="FX27" s="98"/>
      <c r="FY27" s="98"/>
      <c r="FZ27" s="98"/>
      <c r="GA27" s="98"/>
      <c r="GB27" s="98"/>
      <c r="GC27" s="98"/>
      <c r="GD27" s="98"/>
      <c r="GE27" s="98"/>
      <c r="GF27" s="98"/>
      <c r="GG27" s="98"/>
      <c r="GH27" s="98"/>
      <c r="GI27" s="98"/>
      <c r="GJ27" s="98"/>
      <c r="GK27" s="98"/>
      <c r="GL27" s="98"/>
      <c r="GM27" s="98"/>
    </row>
    <row r="28" spans="1:195">
      <c r="A28" s="100">
        <v>121</v>
      </c>
      <c r="B28" s="98">
        <v>33</v>
      </c>
      <c r="C28" s="98" t="s">
        <v>286</v>
      </c>
      <c r="D28" s="126" t="s">
        <v>235</v>
      </c>
      <c r="E28" s="98"/>
      <c r="F28" s="98"/>
      <c r="G28" s="98" t="s">
        <v>15</v>
      </c>
      <c r="H28" s="98"/>
      <c r="I28" s="98"/>
      <c r="J28" s="98"/>
      <c r="K28" s="98"/>
      <c r="L28" s="98">
        <v>16.7</v>
      </c>
      <c r="M28" s="98"/>
      <c r="N28" s="98"/>
      <c r="O28" s="98"/>
      <c r="P28" s="137"/>
      <c r="Q28" s="137"/>
      <c r="R28" s="98"/>
      <c r="S28" s="97"/>
      <c r="T28" s="129">
        <v>23400</v>
      </c>
      <c r="U28" s="129">
        <v>2.99</v>
      </c>
      <c r="V28" s="127">
        <v>69966</v>
      </c>
      <c r="W28" s="130"/>
      <c r="X28" s="129">
        <v>3.96</v>
      </c>
      <c r="Y28" s="98"/>
      <c r="Z28" s="98"/>
      <c r="AA28" s="129">
        <v>10.7</v>
      </c>
      <c r="AB28" s="98">
        <v>0.38</v>
      </c>
      <c r="AC28" s="131"/>
      <c r="AD28" s="131"/>
      <c r="AE28" s="98">
        <v>707.61239999999998</v>
      </c>
      <c r="AF28" s="129"/>
      <c r="AG28" s="98"/>
      <c r="AH28" s="98"/>
      <c r="AI28" s="98"/>
      <c r="AJ28" s="98" t="s">
        <v>248</v>
      </c>
      <c r="AK28" s="133">
        <f t="shared" si="0"/>
        <v>2.702020202020202</v>
      </c>
      <c r="AL28" s="134">
        <f t="shared" si="1"/>
        <v>376.81683687193333</v>
      </c>
      <c r="AM28" s="135">
        <f t="shared" si="2"/>
        <v>0.75505050505050508</v>
      </c>
      <c r="AN28" s="135"/>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c r="CU28" s="98"/>
      <c r="CV28" s="98"/>
      <c r="CW28" s="98"/>
      <c r="CX28" s="98"/>
      <c r="CY28" s="98"/>
      <c r="CZ28" s="98"/>
      <c r="DA28" s="98"/>
      <c r="DB28" s="98"/>
      <c r="DC28" s="98"/>
      <c r="DD28" s="98"/>
      <c r="DE28" s="98"/>
      <c r="DF28" s="98"/>
      <c r="DG28" s="98"/>
      <c r="DH28" s="98"/>
      <c r="DI28" s="98"/>
      <c r="DJ28" s="98"/>
      <c r="DK28" s="98"/>
      <c r="DL28" s="98"/>
      <c r="DM28" s="98"/>
      <c r="DN28" s="98"/>
      <c r="DO28" s="98"/>
      <c r="DP28" s="98"/>
      <c r="DQ28" s="98"/>
      <c r="DR28" s="98"/>
      <c r="DS28" s="98"/>
      <c r="DT28" s="98"/>
      <c r="DU28" s="98"/>
      <c r="DV28" s="98"/>
      <c r="DW28" s="98"/>
      <c r="DX28" s="98"/>
      <c r="DY28" s="98"/>
      <c r="DZ28" s="98"/>
      <c r="EA28" s="98"/>
      <c r="EB28" s="98"/>
      <c r="EC28" s="98"/>
      <c r="ED28" s="98"/>
      <c r="EE28" s="98"/>
      <c r="EF28" s="98"/>
      <c r="EG28" s="98"/>
      <c r="EH28" s="98"/>
      <c r="EI28" s="98"/>
      <c r="EJ28" s="98"/>
      <c r="EK28" s="98"/>
      <c r="EL28" s="98"/>
      <c r="EM28" s="98"/>
      <c r="EN28" s="98"/>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8"/>
      <c r="FO28" s="98"/>
      <c r="FP28" s="98"/>
      <c r="FQ28" s="98"/>
      <c r="FR28" s="98"/>
      <c r="FS28" s="98"/>
      <c r="FT28" s="98"/>
      <c r="FU28" s="98"/>
      <c r="FV28" s="98"/>
      <c r="FW28" s="98"/>
      <c r="FX28" s="98"/>
      <c r="FY28" s="98"/>
      <c r="FZ28" s="98"/>
      <c r="GA28" s="98"/>
      <c r="GB28" s="98"/>
      <c r="GC28" s="98"/>
      <c r="GD28" s="98"/>
      <c r="GE28" s="98"/>
      <c r="GF28" s="98"/>
      <c r="GG28" s="98"/>
      <c r="GH28" s="98"/>
      <c r="GI28" s="98"/>
      <c r="GJ28" s="98"/>
      <c r="GK28" s="98"/>
      <c r="GL28" s="98"/>
      <c r="GM28" s="98"/>
    </row>
    <row r="29" spans="1:195">
      <c r="A29" s="100">
        <v>124</v>
      </c>
      <c r="B29" s="98">
        <v>34</v>
      </c>
      <c r="C29" s="98" t="s">
        <v>287</v>
      </c>
      <c r="D29" s="126" t="s">
        <v>235</v>
      </c>
      <c r="E29" s="98">
        <v>1920</v>
      </c>
      <c r="F29" s="98">
        <v>1986</v>
      </c>
      <c r="G29" s="98" t="s">
        <v>15</v>
      </c>
      <c r="H29" s="98" t="s">
        <v>241</v>
      </c>
      <c r="I29" s="98"/>
      <c r="J29" s="98">
        <v>4.3</v>
      </c>
      <c r="K29" s="98"/>
      <c r="L29" s="98">
        <v>31.1</v>
      </c>
      <c r="M29" s="98"/>
      <c r="N29" s="98"/>
      <c r="O29" s="98"/>
      <c r="P29" s="98"/>
      <c r="Q29" s="98"/>
      <c r="R29" s="98"/>
      <c r="S29" s="97"/>
      <c r="T29" s="129">
        <v>6350000</v>
      </c>
      <c r="U29" s="129">
        <v>10.7</v>
      </c>
      <c r="V29" s="127">
        <v>67945000</v>
      </c>
      <c r="W29" s="130"/>
      <c r="X29" s="129">
        <v>10.8</v>
      </c>
      <c r="Y29" s="98"/>
      <c r="Z29" s="98"/>
      <c r="AA29" s="129">
        <v>73.900000000000006</v>
      </c>
      <c r="AB29" s="98">
        <v>3.03</v>
      </c>
      <c r="AC29" s="131"/>
      <c r="AD29" s="131"/>
      <c r="AE29" s="98">
        <v>24821.532000000007</v>
      </c>
      <c r="AF29" s="129"/>
      <c r="AG29" s="98"/>
      <c r="AH29" s="98"/>
      <c r="AI29" s="98"/>
      <c r="AJ29" s="98" t="s">
        <v>246</v>
      </c>
      <c r="AK29" s="133">
        <f t="shared" si="0"/>
        <v>6.8425925925925926</v>
      </c>
      <c r="AL29" s="134">
        <f t="shared" si="1"/>
        <v>5040.8347304780764</v>
      </c>
      <c r="AM29" s="135">
        <f t="shared" si="2"/>
        <v>0.99074074074074059</v>
      </c>
      <c r="AN29" s="135"/>
      <c r="AP29" s="145"/>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c r="CU29" s="98"/>
      <c r="CV29" s="98"/>
      <c r="CW29" s="98"/>
      <c r="CX29" s="98"/>
      <c r="CY29" s="98"/>
      <c r="CZ29" s="98"/>
      <c r="DA29" s="98"/>
      <c r="DB29" s="98"/>
      <c r="DC29" s="98"/>
      <c r="DD29" s="98"/>
      <c r="DE29" s="98"/>
      <c r="DF29" s="98"/>
      <c r="DG29" s="98"/>
      <c r="DH29" s="98"/>
      <c r="DI29" s="98"/>
      <c r="DJ29" s="98"/>
      <c r="DK29" s="98"/>
      <c r="DL29" s="98"/>
      <c r="DM29" s="98"/>
      <c r="DN29" s="98"/>
      <c r="DO29" s="98"/>
      <c r="DP29" s="98"/>
      <c r="DQ29" s="98"/>
      <c r="DR29" s="98"/>
      <c r="DS29" s="98"/>
      <c r="DT29" s="98"/>
      <c r="DU29" s="98"/>
      <c r="DV29" s="98"/>
      <c r="DW29" s="98"/>
      <c r="DX29" s="98"/>
      <c r="DY29" s="98"/>
      <c r="DZ29" s="98"/>
      <c r="EA29" s="98"/>
      <c r="EB29" s="98"/>
      <c r="EC29" s="98"/>
      <c r="ED29" s="98"/>
      <c r="EE29" s="98"/>
      <c r="EF29" s="98"/>
      <c r="EG29" s="98"/>
      <c r="EH29" s="98"/>
      <c r="EI29" s="98"/>
      <c r="EJ29" s="98"/>
      <c r="EK29" s="98"/>
      <c r="EL29" s="98"/>
      <c r="EM29" s="98"/>
      <c r="EN29" s="98"/>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8"/>
      <c r="FO29" s="98"/>
      <c r="FP29" s="98"/>
      <c r="FQ29" s="98"/>
      <c r="FR29" s="98"/>
      <c r="FS29" s="98"/>
      <c r="FT29" s="98"/>
      <c r="FU29" s="98"/>
      <c r="FV29" s="98"/>
      <c r="FW29" s="98"/>
      <c r="FX29" s="98"/>
      <c r="FY29" s="98"/>
      <c r="FZ29" s="98"/>
      <c r="GA29" s="98"/>
      <c r="GB29" s="98"/>
      <c r="GC29" s="98"/>
      <c r="GD29" s="98"/>
      <c r="GE29" s="98"/>
      <c r="GF29" s="98"/>
      <c r="GG29" s="98"/>
      <c r="GH29" s="98"/>
      <c r="GI29" s="98"/>
      <c r="GJ29" s="98"/>
      <c r="GK29" s="98"/>
      <c r="GL29" s="98"/>
      <c r="GM29" s="98"/>
    </row>
    <row r="30" spans="1:195">
      <c r="A30" s="100">
        <v>133</v>
      </c>
      <c r="B30" s="98">
        <v>35</v>
      </c>
      <c r="C30" s="98" t="s">
        <v>288</v>
      </c>
      <c r="D30" s="126" t="s">
        <v>235</v>
      </c>
      <c r="E30" s="98">
        <v>1908</v>
      </c>
      <c r="F30" s="98">
        <v>1914</v>
      </c>
      <c r="G30" s="98" t="s">
        <v>289</v>
      </c>
      <c r="H30" s="98" t="s">
        <v>290</v>
      </c>
      <c r="I30" s="98">
        <v>19.2</v>
      </c>
      <c r="J30" s="98">
        <v>6.1</v>
      </c>
      <c r="K30" s="98"/>
      <c r="L30" s="98">
        <v>44.8</v>
      </c>
      <c r="M30" s="98">
        <v>2</v>
      </c>
      <c r="N30" s="98">
        <v>2.5</v>
      </c>
      <c r="O30" s="98">
        <v>237.7</v>
      </c>
      <c r="P30" s="127">
        <v>14800000</v>
      </c>
      <c r="Q30" s="128"/>
      <c r="R30" s="98">
        <v>3080</v>
      </c>
      <c r="S30" s="97" t="s">
        <v>278</v>
      </c>
      <c r="T30" s="129">
        <v>14800000</v>
      </c>
      <c r="U30" s="129">
        <v>16.8</v>
      </c>
      <c r="V30" s="127">
        <v>248640000</v>
      </c>
      <c r="W30" s="130" t="s">
        <v>238</v>
      </c>
      <c r="X30" s="129">
        <v>18.3</v>
      </c>
      <c r="Y30" s="98">
        <v>180</v>
      </c>
      <c r="Z30" s="98">
        <v>140.4</v>
      </c>
      <c r="AA30" s="129">
        <v>151</v>
      </c>
      <c r="AB30" s="98">
        <v>2.42</v>
      </c>
      <c r="AC30" s="131">
        <v>1</v>
      </c>
      <c r="AD30" s="131">
        <v>1</v>
      </c>
      <c r="AE30" s="98">
        <v>160557</v>
      </c>
      <c r="AF30" s="129">
        <v>1</v>
      </c>
      <c r="AG30" s="150">
        <v>3</v>
      </c>
      <c r="AH30" s="98">
        <v>3</v>
      </c>
      <c r="AI30" s="98">
        <v>1</v>
      </c>
      <c r="AJ30" s="98" t="s">
        <v>291</v>
      </c>
      <c r="AK30" s="133">
        <f t="shared" si="0"/>
        <v>8.2513661202185791</v>
      </c>
      <c r="AL30" s="134">
        <f t="shared" si="1"/>
        <v>2414.9516838332197</v>
      </c>
      <c r="AM30" s="135">
        <f t="shared" si="2"/>
        <v>0.91803278688524592</v>
      </c>
      <c r="AN30" s="135">
        <f>3600*AF30*SQRT(9.81/X30)</f>
        <v>2635.7939669225993</v>
      </c>
      <c r="AP30" s="144"/>
      <c r="AQ30" s="140"/>
      <c r="AR30" s="142"/>
      <c r="AS30" s="146"/>
      <c r="AT30" s="142"/>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c r="CU30" s="98"/>
      <c r="CV30" s="98"/>
      <c r="CW30" s="98"/>
      <c r="CX30" s="98"/>
      <c r="CY30" s="98"/>
      <c r="CZ30" s="98"/>
      <c r="DA30" s="98"/>
      <c r="DB30" s="98"/>
      <c r="DC30" s="98"/>
      <c r="DD30" s="98"/>
      <c r="DE30" s="98"/>
      <c r="DF30" s="98"/>
      <c r="DG30" s="98"/>
      <c r="DH30" s="98"/>
      <c r="DI30" s="98"/>
      <c r="DJ30" s="98"/>
      <c r="DK30" s="98"/>
      <c r="DL30" s="98"/>
      <c r="DM30" s="98"/>
      <c r="DN30" s="98"/>
      <c r="DO30" s="98"/>
      <c r="DP30" s="98"/>
      <c r="DQ30" s="98"/>
      <c r="DR30" s="98"/>
      <c r="DS30" s="98"/>
      <c r="DT30" s="98"/>
      <c r="DU30" s="98"/>
      <c r="DV30" s="98"/>
      <c r="DW30" s="98"/>
      <c r="DX30" s="98"/>
      <c r="DY30" s="98"/>
      <c r="DZ30" s="98"/>
      <c r="EA30" s="98"/>
      <c r="EB30" s="98"/>
      <c r="EC30" s="98"/>
      <c r="ED30" s="98"/>
      <c r="EE30" s="98"/>
      <c r="EF30" s="98"/>
      <c r="EG30" s="98"/>
      <c r="EH30" s="98"/>
      <c r="EI30" s="98"/>
      <c r="EJ30" s="98"/>
      <c r="EK30" s="98"/>
      <c r="EL30" s="98"/>
      <c r="EM30" s="98"/>
      <c r="EN30" s="98"/>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8"/>
      <c r="FO30" s="98"/>
      <c r="FP30" s="98"/>
      <c r="FQ30" s="98"/>
      <c r="FR30" s="98"/>
      <c r="FS30" s="98"/>
      <c r="FT30" s="98"/>
      <c r="FU30" s="98"/>
      <c r="FV30" s="98"/>
      <c r="FW30" s="98"/>
      <c r="FX30" s="98"/>
      <c r="FY30" s="98"/>
      <c r="FZ30" s="98"/>
      <c r="GA30" s="98"/>
      <c r="GB30" s="98"/>
      <c r="GC30" s="98"/>
      <c r="GD30" s="98"/>
      <c r="GE30" s="98"/>
      <c r="GF30" s="98"/>
      <c r="GG30" s="98"/>
      <c r="GH30" s="98"/>
      <c r="GI30" s="98"/>
      <c r="GJ30" s="98"/>
      <c r="GK30" s="98"/>
      <c r="GL30" s="98"/>
      <c r="GM30" s="98"/>
    </row>
    <row r="31" spans="1:195">
      <c r="A31" s="100">
        <v>145</v>
      </c>
      <c r="B31" s="98">
        <v>38</v>
      </c>
      <c r="C31" s="98" t="s">
        <v>292</v>
      </c>
      <c r="D31" s="126" t="s">
        <v>235</v>
      </c>
      <c r="E31" s="98">
        <v>1964</v>
      </c>
      <c r="F31" s="98">
        <v>1964</v>
      </c>
      <c r="G31" s="98" t="s">
        <v>15</v>
      </c>
      <c r="H31" s="98" t="s">
        <v>293</v>
      </c>
      <c r="I31" s="98">
        <v>67.06</v>
      </c>
      <c r="J31" s="98">
        <v>21.3</v>
      </c>
      <c r="K31" s="98"/>
      <c r="L31" s="98">
        <v>103.2</v>
      </c>
      <c r="M31" s="98">
        <v>1.5</v>
      </c>
      <c r="N31" s="98">
        <v>1.5</v>
      </c>
      <c r="O31" s="98"/>
      <c r="P31" s="137">
        <v>30600000</v>
      </c>
      <c r="Q31" s="128"/>
      <c r="R31" s="98">
        <v>7360</v>
      </c>
      <c r="S31" s="97" t="s">
        <v>278</v>
      </c>
      <c r="T31" s="129">
        <v>30600000</v>
      </c>
      <c r="U31" s="129">
        <v>35.1</v>
      </c>
      <c r="V31" s="127">
        <v>1074060000</v>
      </c>
      <c r="W31" s="130" t="s">
        <v>238</v>
      </c>
      <c r="X31" s="129">
        <v>56.4</v>
      </c>
      <c r="Y31" s="98"/>
      <c r="Z31" s="98"/>
      <c r="AA31" s="129">
        <v>121</v>
      </c>
      <c r="AB31" s="98">
        <v>0.96</v>
      </c>
      <c r="AC31" s="131"/>
      <c r="AD31" s="131"/>
      <c r="AE31" s="98">
        <v>555067</v>
      </c>
      <c r="AF31" s="129">
        <v>0.75</v>
      </c>
      <c r="AG31" s="98"/>
      <c r="AH31" s="98">
        <v>5</v>
      </c>
      <c r="AI31" s="98"/>
      <c r="AJ31" s="98" t="s">
        <v>261</v>
      </c>
      <c r="AK31" s="133">
        <f t="shared" si="0"/>
        <v>2.145390070921986</v>
      </c>
      <c r="AL31" s="134">
        <f t="shared" si="1"/>
        <v>170.56272052756455</v>
      </c>
      <c r="AM31" s="135">
        <f t="shared" si="2"/>
        <v>0.62234042553191493</v>
      </c>
      <c r="AN31" s="135">
        <f>3600*AF31*SQRT(9.81/X31)</f>
        <v>1126.0526989670884</v>
      </c>
      <c r="AP31" s="144"/>
      <c r="AQ31" s="147"/>
      <c r="AR31" s="14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8"/>
      <c r="EI31" s="98"/>
      <c r="EJ31" s="98"/>
      <c r="EK31" s="98"/>
      <c r="EL31" s="98"/>
      <c r="EM31" s="98"/>
      <c r="EN31" s="98"/>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8"/>
      <c r="FO31" s="98"/>
      <c r="FP31" s="98"/>
      <c r="FQ31" s="98"/>
      <c r="FR31" s="98"/>
      <c r="FS31" s="98"/>
      <c r="FT31" s="98"/>
      <c r="FU31" s="98"/>
      <c r="FV31" s="98"/>
      <c r="FW31" s="98"/>
      <c r="FX31" s="98"/>
      <c r="FY31" s="98"/>
      <c r="FZ31" s="98"/>
      <c r="GA31" s="98"/>
      <c r="GB31" s="98"/>
      <c r="GC31" s="98"/>
      <c r="GD31" s="98"/>
      <c r="GE31" s="98"/>
      <c r="GF31" s="98"/>
      <c r="GG31" s="98"/>
      <c r="GH31" s="98"/>
      <c r="GI31" s="98"/>
      <c r="GJ31" s="98"/>
      <c r="GK31" s="98"/>
      <c r="GL31" s="98"/>
      <c r="GM31" s="98"/>
    </row>
    <row r="32" spans="1:195">
      <c r="A32" s="100">
        <v>153</v>
      </c>
      <c r="B32" s="98">
        <v>40</v>
      </c>
      <c r="C32" s="98" t="s">
        <v>294</v>
      </c>
      <c r="D32" s="126" t="s">
        <v>235</v>
      </c>
      <c r="E32" s="98">
        <v>1911</v>
      </c>
      <c r="F32" s="98">
        <v>1914</v>
      </c>
      <c r="G32" s="98" t="s">
        <v>15</v>
      </c>
      <c r="H32" s="98" t="s">
        <v>295</v>
      </c>
      <c r="I32" s="98">
        <v>12.19</v>
      </c>
      <c r="J32" s="98">
        <v>4.9000000000000004</v>
      </c>
      <c r="K32" s="98"/>
      <c r="L32" s="98">
        <v>26.8</v>
      </c>
      <c r="M32" s="98">
        <v>1.5</v>
      </c>
      <c r="N32" s="98">
        <v>2</v>
      </c>
      <c r="O32" s="98">
        <v>701</v>
      </c>
      <c r="P32" s="137">
        <v>21000000</v>
      </c>
      <c r="Q32" s="128">
        <v>4856227.7068800004</v>
      </c>
      <c r="R32" s="98"/>
      <c r="S32" s="97"/>
      <c r="T32" s="129">
        <v>12800000</v>
      </c>
      <c r="U32" s="129">
        <v>7.01</v>
      </c>
      <c r="V32" s="127">
        <v>89728000</v>
      </c>
      <c r="W32" s="130" t="s">
        <v>238</v>
      </c>
      <c r="X32" s="129">
        <v>12.8</v>
      </c>
      <c r="Y32" s="98">
        <v>76.2</v>
      </c>
      <c r="Z32" s="98">
        <v>69.999999999999986</v>
      </c>
      <c r="AA32" s="129">
        <v>73.099999999999994</v>
      </c>
      <c r="AB32" s="98">
        <v>0.83</v>
      </c>
      <c r="AC32" s="131">
        <v>1</v>
      </c>
      <c r="AD32" s="131">
        <v>1</v>
      </c>
      <c r="AE32" s="98">
        <v>20490</v>
      </c>
      <c r="AF32" s="129"/>
      <c r="AG32" s="98"/>
      <c r="AH32" s="98"/>
      <c r="AI32" s="98"/>
      <c r="AJ32" s="98" t="s">
        <v>296</v>
      </c>
      <c r="AK32" s="133">
        <f t="shared" si="0"/>
        <v>5.7109374999999991</v>
      </c>
      <c r="AL32" s="134">
        <f t="shared" si="1"/>
        <v>6103.5156249999982</v>
      </c>
      <c r="AM32" s="135">
        <f t="shared" si="2"/>
        <v>0.54765624999999996</v>
      </c>
      <c r="AN32" s="135"/>
      <c r="AP32" s="141"/>
      <c r="AQ32" s="149"/>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8"/>
      <c r="EI32" s="98"/>
      <c r="EJ32" s="98"/>
      <c r="EK32" s="98"/>
      <c r="EL32" s="98"/>
      <c r="EM32" s="98"/>
      <c r="EN32" s="98"/>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8"/>
      <c r="FO32" s="98"/>
      <c r="FP32" s="98"/>
      <c r="FQ32" s="98"/>
      <c r="FR32" s="98"/>
      <c r="FS32" s="98"/>
      <c r="FT32" s="98"/>
      <c r="FU32" s="98"/>
      <c r="FV32" s="98"/>
      <c r="FW32" s="98"/>
      <c r="FX32" s="98"/>
      <c r="FY32" s="98"/>
      <c r="FZ32" s="98"/>
      <c r="GA32" s="98"/>
      <c r="GB32" s="98"/>
      <c r="GC32" s="98"/>
      <c r="GD32" s="98"/>
      <c r="GE32" s="98"/>
      <c r="GF32" s="98"/>
      <c r="GG32" s="98"/>
      <c r="GH32" s="98"/>
      <c r="GI32" s="98"/>
      <c r="GJ32" s="98"/>
      <c r="GK32" s="98"/>
      <c r="GL32" s="98"/>
      <c r="GM32" s="98"/>
    </row>
    <row r="33" spans="1:195">
      <c r="A33" s="100">
        <v>155</v>
      </c>
      <c r="B33" s="98">
        <v>41</v>
      </c>
      <c r="C33" s="98" t="s">
        <v>297</v>
      </c>
      <c r="D33" s="126" t="s">
        <v>235</v>
      </c>
      <c r="E33" s="98">
        <v>1960</v>
      </c>
      <c r="F33" s="98">
        <v>1994</v>
      </c>
      <c r="G33" s="98" t="s">
        <v>9</v>
      </c>
      <c r="H33" s="98" t="s">
        <v>241</v>
      </c>
      <c r="I33" s="98"/>
      <c r="J33" s="98"/>
      <c r="K33" s="98"/>
      <c r="L33" s="98">
        <v>14</v>
      </c>
      <c r="M33" s="98"/>
      <c r="N33" s="98"/>
      <c r="O33" s="98"/>
      <c r="P33" s="137"/>
      <c r="Q33" s="128"/>
      <c r="R33" s="98"/>
      <c r="S33" s="97"/>
      <c r="T33" s="129">
        <v>1170000</v>
      </c>
      <c r="U33" s="129">
        <v>4.42</v>
      </c>
      <c r="V33" s="127">
        <v>5171400</v>
      </c>
      <c r="W33" s="130"/>
      <c r="X33" s="129">
        <v>3.75</v>
      </c>
      <c r="Y33" s="98"/>
      <c r="Z33" s="98"/>
      <c r="AA33" s="129">
        <v>33.4</v>
      </c>
      <c r="AB33" s="98">
        <v>1.1399999999999999</v>
      </c>
      <c r="AC33" s="131"/>
      <c r="AD33" s="131"/>
      <c r="AE33" s="98">
        <v>1753.5</v>
      </c>
      <c r="AF33" s="129"/>
      <c r="AG33" s="98"/>
      <c r="AH33" s="98"/>
      <c r="AI33" s="98"/>
      <c r="AJ33" s="98" t="s">
        <v>23</v>
      </c>
      <c r="AK33" s="133">
        <f t="shared" si="0"/>
        <v>8.9066666666666663</v>
      </c>
      <c r="AL33" s="134">
        <f t="shared" si="1"/>
        <v>22186.666666666668</v>
      </c>
      <c r="AM33" s="135">
        <f t="shared" si="2"/>
        <v>1.1786666666666668</v>
      </c>
      <c r="AN33" s="135"/>
      <c r="AP33" s="144"/>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row>
    <row r="34" spans="1:195">
      <c r="A34" s="100">
        <v>157</v>
      </c>
      <c r="B34" s="98">
        <v>42</v>
      </c>
      <c r="C34" s="98" t="s">
        <v>298</v>
      </c>
      <c r="D34" s="126" t="s">
        <v>235</v>
      </c>
      <c r="E34" s="98">
        <v>1971</v>
      </c>
      <c r="F34" s="98">
        <v>1993</v>
      </c>
      <c r="G34" s="98" t="s">
        <v>15</v>
      </c>
      <c r="H34" s="98" t="s">
        <v>8</v>
      </c>
      <c r="I34" s="131">
        <v>4.5720000000000001</v>
      </c>
      <c r="J34" s="98"/>
      <c r="K34" s="98"/>
      <c r="L34" s="98"/>
      <c r="M34" s="98"/>
      <c r="N34" s="98"/>
      <c r="O34" s="98">
        <v>304.8</v>
      </c>
      <c r="P34" s="137">
        <v>333040.09613783046</v>
      </c>
      <c r="Q34" s="128">
        <v>149733.68762880002</v>
      </c>
      <c r="R34" s="98"/>
      <c r="S34" s="97"/>
      <c r="T34" s="129">
        <v>333000</v>
      </c>
      <c r="U34" s="129">
        <v>4.42</v>
      </c>
      <c r="V34" s="127">
        <v>1471860</v>
      </c>
      <c r="W34" s="130"/>
      <c r="X34" s="129">
        <v>4.57</v>
      </c>
      <c r="Y34" s="98"/>
      <c r="Z34" s="98"/>
      <c r="AA34" s="129">
        <v>16.8</v>
      </c>
      <c r="AB34" s="98">
        <v>0.33</v>
      </c>
      <c r="AC34" s="131"/>
      <c r="AD34" s="131"/>
      <c r="AE34" s="98"/>
      <c r="AF34" s="129"/>
      <c r="AG34" s="98"/>
      <c r="AH34" s="98"/>
      <c r="AI34" s="98"/>
      <c r="AJ34" s="98" t="s">
        <v>299</v>
      </c>
      <c r="AK34" s="133">
        <f t="shared" si="0"/>
        <v>3.6761487964989059</v>
      </c>
      <c r="AL34" s="134">
        <f t="shared" si="1"/>
        <v>3488.9571311208651</v>
      </c>
      <c r="AM34" s="135">
        <f t="shared" si="2"/>
        <v>0.96717724288840257</v>
      </c>
      <c r="AN34" s="135"/>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c r="CU34" s="98"/>
      <c r="CV34" s="98"/>
      <c r="CW34" s="98"/>
      <c r="CX34" s="98"/>
      <c r="CY34" s="98"/>
      <c r="CZ34" s="98"/>
      <c r="DA34" s="98"/>
      <c r="DB34" s="98"/>
      <c r="DC34" s="98"/>
      <c r="DD34" s="98"/>
      <c r="DE34" s="98"/>
      <c r="DF34" s="98"/>
      <c r="DG34" s="98"/>
      <c r="DH34" s="98"/>
      <c r="DI34" s="98"/>
      <c r="DJ34" s="98"/>
      <c r="DK34" s="98"/>
      <c r="DL34" s="98"/>
      <c r="DM34" s="98"/>
      <c r="DN34" s="98"/>
      <c r="DO34" s="98"/>
      <c r="DP34" s="98"/>
      <c r="DQ34" s="98"/>
      <c r="DR34" s="98"/>
      <c r="DS34" s="98"/>
      <c r="DT34" s="98"/>
      <c r="DU34" s="98"/>
      <c r="DV34" s="98"/>
      <c r="DW34" s="98"/>
      <c r="DX34" s="98"/>
      <c r="DY34" s="98"/>
      <c r="DZ34" s="98"/>
      <c r="EA34" s="98"/>
      <c r="EB34" s="98"/>
      <c r="EC34" s="98"/>
      <c r="ED34" s="98"/>
      <c r="EE34" s="98"/>
      <c r="EF34" s="98"/>
      <c r="EG34" s="98"/>
      <c r="EH34" s="98"/>
      <c r="EI34" s="98"/>
      <c r="EJ34" s="98"/>
      <c r="EK34" s="98"/>
      <c r="EL34" s="98"/>
      <c r="EM34" s="98"/>
      <c r="EN34" s="98"/>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8"/>
      <c r="FO34" s="98"/>
      <c r="FP34" s="98"/>
      <c r="FQ34" s="98"/>
      <c r="FR34" s="98"/>
      <c r="FS34" s="98"/>
      <c r="FT34" s="98"/>
      <c r="FU34" s="98"/>
      <c r="FV34" s="98"/>
      <c r="FW34" s="98"/>
      <c r="FX34" s="98"/>
      <c r="FY34" s="98"/>
      <c r="FZ34" s="98"/>
      <c r="GA34" s="98"/>
      <c r="GB34" s="98"/>
      <c r="GC34" s="98"/>
      <c r="GD34" s="98"/>
      <c r="GE34" s="98"/>
      <c r="GF34" s="98"/>
      <c r="GG34" s="98"/>
      <c r="GH34" s="98"/>
      <c r="GI34" s="98"/>
      <c r="GJ34" s="98"/>
      <c r="GK34" s="98"/>
      <c r="GL34" s="98"/>
      <c r="GM34" s="98"/>
    </row>
    <row r="35" spans="1:195">
      <c r="A35" s="100">
        <v>161</v>
      </c>
      <c r="B35" s="98">
        <v>43</v>
      </c>
      <c r="C35" s="98" t="s">
        <v>300</v>
      </c>
      <c r="D35" s="126" t="s">
        <v>235</v>
      </c>
      <c r="E35" s="98"/>
      <c r="F35" s="98">
        <v>1984</v>
      </c>
      <c r="G35" s="98" t="s">
        <v>15</v>
      </c>
      <c r="H35" s="98" t="s">
        <v>241</v>
      </c>
      <c r="I35" s="98"/>
      <c r="J35" s="98">
        <v>2.4</v>
      </c>
      <c r="K35" s="98"/>
      <c r="L35" s="98">
        <v>18</v>
      </c>
      <c r="M35" s="98"/>
      <c r="N35" s="98"/>
      <c r="O35" s="98"/>
      <c r="P35" s="98"/>
      <c r="Q35" s="98"/>
      <c r="R35" s="98">
        <v>110</v>
      </c>
      <c r="S35" s="97" t="s">
        <v>301</v>
      </c>
      <c r="T35" s="129">
        <v>160000</v>
      </c>
      <c r="U35" s="129">
        <v>3.81</v>
      </c>
      <c r="V35" s="127">
        <v>609600</v>
      </c>
      <c r="W35" s="130"/>
      <c r="X35" s="129">
        <v>5.18</v>
      </c>
      <c r="Y35" s="98"/>
      <c r="Z35" s="98"/>
      <c r="AA35" s="129">
        <v>13.5</v>
      </c>
      <c r="AB35" s="98">
        <v>0.38</v>
      </c>
      <c r="AC35" s="131"/>
      <c r="AD35" s="131"/>
      <c r="AE35" s="98">
        <v>1258.7399999999998</v>
      </c>
      <c r="AF35" s="129">
        <v>0.5</v>
      </c>
      <c r="AG35" s="98"/>
      <c r="AH35" s="98"/>
      <c r="AI35" s="98"/>
      <c r="AJ35" s="98" t="s">
        <v>302</v>
      </c>
      <c r="AK35" s="133">
        <f t="shared" si="0"/>
        <v>2.6061776061776065</v>
      </c>
      <c r="AL35" s="134">
        <f t="shared" si="1"/>
        <v>1151.1467810568902</v>
      </c>
      <c r="AM35" s="135">
        <f t="shared" si="2"/>
        <v>0.73552123552123561</v>
      </c>
      <c r="AN35" s="135">
        <f>3600*AF35*SQRT(9.81/X35)</f>
        <v>2477.0919554963148</v>
      </c>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c r="CU35" s="98"/>
      <c r="CV35" s="98"/>
      <c r="CW35" s="98"/>
      <c r="CX35" s="98"/>
      <c r="CY35" s="98"/>
      <c r="CZ35" s="98"/>
      <c r="DA35" s="98"/>
      <c r="DB35" s="98"/>
      <c r="DC35" s="98"/>
      <c r="DD35" s="98"/>
      <c r="DE35" s="98"/>
      <c r="DF35" s="98"/>
      <c r="DG35" s="98"/>
      <c r="DH35" s="98"/>
      <c r="DI35" s="98"/>
      <c r="DJ35" s="98"/>
      <c r="DK35" s="98"/>
      <c r="DL35" s="98"/>
      <c r="DM35" s="98"/>
      <c r="DN35" s="98"/>
      <c r="DO35" s="98"/>
      <c r="DP35" s="98"/>
      <c r="DQ35" s="98"/>
      <c r="DR35" s="98"/>
      <c r="DS35" s="98"/>
      <c r="DT35" s="98"/>
      <c r="DU35" s="98"/>
      <c r="DV35" s="98"/>
      <c r="DW35" s="98"/>
      <c r="DX35" s="98"/>
      <c r="DY35" s="98"/>
      <c r="DZ35" s="98"/>
      <c r="EA35" s="98"/>
      <c r="EB35" s="98"/>
      <c r="EC35" s="98"/>
      <c r="ED35" s="98"/>
      <c r="EE35" s="98"/>
      <c r="EF35" s="98"/>
      <c r="EG35" s="98"/>
      <c r="EH35" s="98"/>
      <c r="EI35" s="98"/>
      <c r="EJ35" s="98"/>
      <c r="EK35" s="98"/>
      <c r="EL35" s="98"/>
      <c r="EM35" s="98"/>
      <c r="EN35" s="98"/>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8"/>
      <c r="FO35" s="98"/>
      <c r="FP35" s="98"/>
      <c r="FQ35" s="98"/>
      <c r="FR35" s="98"/>
      <c r="FS35" s="98"/>
      <c r="FT35" s="98"/>
      <c r="FU35" s="98"/>
      <c r="FV35" s="98"/>
      <c r="FW35" s="98"/>
      <c r="FX35" s="98"/>
      <c r="FY35" s="98"/>
      <c r="FZ35" s="98"/>
      <c r="GA35" s="98"/>
      <c r="GB35" s="98"/>
      <c r="GC35" s="98"/>
      <c r="GD35" s="98"/>
      <c r="GE35" s="98"/>
      <c r="GF35" s="98"/>
      <c r="GG35" s="98"/>
      <c r="GH35" s="98"/>
      <c r="GI35" s="98"/>
      <c r="GJ35" s="98"/>
      <c r="GK35" s="98"/>
      <c r="GL35" s="98"/>
      <c r="GM35" s="98"/>
    </row>
    <row r="36" spans="1:195">
      <c r="A36" s="100">
        <v>163</v>
      </c>
      <c r="B36" s="98">
        <v>44</v>
      </c>
      <c r="C36" s="98" t="s">
        <v>303</v>
      </c>
      <c r="D36" s="126" t="s">
        <v>235</v>
      </c>
      <c r="E36" s="98"/>
      <c r="F36" s="98"/>
      <c r="G36" s="98" t="s">
        <v>15</v>
      </c>
      <c r="H36" s="98"/>
      <c r="I36" s="98"/>
      <c r="J36" s="98"/>
      <c r="K36" s="98"/>
      <c r="L36" s="98"/>
      <c r="M36" s="98"/>
      <c r="N36" s="98"/>
      <c r="O36" s="98"/>
      <c r="P36" s="98"/>
      <c r="Q36" s="98"/>
      <c r="R36" s="98"/>
      <c r="S36" s="97"/>
      <c r="T36" s="129">
        <v>423000</v>
      </c>
      <c r="U36" s="129">
        <v>20.100000000000001</v>
      </c>
      <c r="V36" s="127">
        <v>8502300</v>
      </c>
      <c r="W36" s="130"/>
      <c r="X36" s="129">
        <v>21.3</v>
      </c>
      <c r="Y36" s="98"/>
      <c r="Z36" s="98"/>
      <c r="AA36" s="129">
        <v>17.5</v>
      </c>
      <c r="AB36" s="98">
        <v>0.61</v>
      </c>
      <c r="AC36" s="131"/>
      <c r="AD36" s="131"/>
      <c r="AE36" s="98"/>
      <c r="AF36" s="129"/>
      <c r="AG36" s="98"/>
      <c r="AH36" s="98"/>
      <c r="AI36" s="98"/>
      <c r="AJ36" s="98" t="s">
        <v>248</v>
      </c>
      <c r="AK36" s="133">
        <f t="shared" si="0"/>
        <v>0.82159624413145538</v>
      </c>
      <c r="AL36" s="134">
        <f t="shared" si="1"/>
        <v>43.772520729082551</v>
      </c>
      <c r="AM36" s="135">
        <f t="shared" si="2"/>
        <v>0.94366197183098599</v>
      </c>
      <c r="AN36" s="135"/>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c r="CU36" s="98"/>
      <c r="CV36" s="98"/>
      <c r="CW36" s="98"/>
      <c r="CX36" s="98"/>
      <c r="CY36" s="98"/>
      <c r="CZ36" s="98"/>
      <c r="DA36" s="98"/>
      <c r="DB36" s="98"/>
      <c r="DC36" s="98"/>
      <c r="DD36" s="98"/>
      <c r="DE36" s="98"/>
      <c r="DF36" s="98"/>
      <c r="DG36" s="98"/>
      <c r="DH36" s="98"/>
      <c r="DI36" s="98"/>
      <c r="DJ36" s="98"/>
      <c r="DK36" s="98"/>
      <c r="DL36" s="98"/>
      <c r="DM36" s="98"/>
      <c r="DN36" s="98"/>
      <c r="DO36" s="98"/>
      <c r="DP36" s="98"/>
      <c r="DQ36" s="98"/>
      <c r="DR36" s="98"/>
      <c r="DS36" s="98"/>
      <c r="DT36" s="98"/>
      <c r="DU36" s="98"/>
      <c r="DV36" s="98"/>
      <c r="DW36" s="98"/>
      <c r="DX36" s="98"/>
      <c r="DY36" s="98"/>
      <c r="DZ36" s="98"/>
      <c r="EA36" s="98"/>
      <c r="EB36" s="98"/>
      <c r="EC36" s="98"/>
      <c r="ED36" s="98"/>
      <c r="EE36" s="98"/>
      <c r="EF36" s="98"/>
      <c r="EG36" s="98"/>
      <c r="EH36" s="98"/>
      <c r="EI36" s="98"/>
      <c r="EJ36" s="98"/>
      <c r="EK36" s="98"/>
      <c r="EL36" s="98"/>
      <c r="EM36" s="98"/>
      <c r="EN36" s="98"/>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8"/>
      <c r="FO36" s="98"/>
      <c r="FP36" s="98"/>
      <c r="FQ36" s="98"/>
      <c r="FR36" s="98"/>
      <c r="FS36" s="98"/>
      <c r="FT36" s="98"/>
      <c r="FU36" s="98"/>
      <c r="FV36" s="98"/>
      <c r="FW36" s="98"/>
      <c r="FX36" s="98"/>
      <c r="FY36" s="98"/>
      <c r="FZ36" s="98"/>
      <c r="GA36" s="98"/>
      <c r="GB36" s="98"/>
      <c r="GC36" s="98"/>
      <c r="GD36" s="98"/>
      <c r="GE36" s="98"/>
      <c r="GF36" s="98"/>
      <c r="GG36" s="98"/>
      <c r="GH36" s="98"/>
      <c r="GI36" s="98"/>
      <c r="GJ36" s="98"/>
      <c r="GK36" s="98"/>
      <c r="GL36" s="98"/>
      <c r="GM36" s="98"/>
    </row>
    <row r="37" spans="1:195">
      <c r="A37" s="100">
        <v>168</v>
      </c>
      <c r="B37" s="98">
        <v>45</v>
      </c>
      <c r="C37" s="98" t="s">
        <v>304</v>
      </c>
      <c r="D37" s="126" t="s">
        <v>235</v>
      </c>
      <c r="E37" s="98">
        <v>1921</v>
      </c>
      <c r="F37" s="98">
        <v>1981</v>
      </c>
      <c r="G37" s="98" t="s">
        <v>15</v>
      </c>
      <c r="H37" s="98" t="s">
        <v>241</v>
      </c>
      <c r="I37" s="98">
        <v>4.2699999999999996</v>
      </c>
      <c r="J37" s="98">
        <v>1.8</v>
      </c>
      <c r="K37" s="98"/>
      <c r="L37" s="98">
        <v>21.5</v>
      </c>
      <c r="M37" s="98">
        <v>4.75</v>
      </c>
      <c r="N37" s="98">
        <v>2.75</v>
      </c>
      <c r="O37" s="98"/>
      <c r="P37" s="127">
        <v>575000</v>
      </c>
      <c r="Q37" s="128"/>
      <c r="R37" s="98"/>
      <c r="S37" s="97"/>
      <c r="T37" s="129">
        <v>575000</v>
      </c>
      <c r="U37" s="129">
        <v>3.05</v>
      </c>
      <c r="V37" s="127">
        <v>1753750</v>
      </c>
      <c r="W37" s="130" t="s">
        <v>238</v>
      </c>
      <c r="X37" s="129">
        <v>5.18</v>
      </c>
      <c r="Y37" s="98">
        <v>13.4</v>
      </c>
      <c r="Z37" s="98">
        <v>2</v>
      </c>
      <c r="AA37" s="129">
        <v>8.23</v>
      </c>
      <c r="AB37" s="98">
        <v>1</v>
      </c>
      <c r="AC37" s="131">
        <v>1</v>
      </c>
      <c r="AD37" s="131">
        <v>1</v>
      </c>
      <c r="AE37" s="98">
        <v>673</v>
      </c>
      <c r="AF37" s="129"/>
      <c r="AG37" s="98"/>
      <c r="AH37" s="98"/>
      <c r="AI37" s="98"/>
      <c r="AJ37" s="98" t="s">
        <v>255</v>
      </c>
      <c r="AK37" s="133">
        <f t="shared" si="0"/>
        <v>1.5888030888030891</v>
      </c>
      <c r="AL37" s="134">
        <f t="shared" si="1"/>
        <v>4136.9337444231987</v>
      </c>
      <c r="AM37" s="135">
        <f t="shared" si="2"/>
        <v>0.58880308880308885</v>
      </c>
      <c r="AN37" s="135"/>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c r="CU37" s="98"/>
      <c r="CV37" s="98"/>
      <c r="CW37" s="98"/>
      <c r="CX37" s="98"/>
      <c r="CY37" s="98"/>
      <c r="CZ37" s="98"/>
      <c r="DA37" s="98"/>
      <c r="DB37" s="98"/>
      <c r="DC37" s="98"/>
      <c r="DD37" s="98"/>
      <c r="DE37" s="98"/>
      <c r="DF37" s="98"/>
      <c r="DG37" s="98"/>
      <c r="DH37" s="98"/>
      <c r="DI37" s="98"/>
      <c r="DJ37" s="98"/>
      <c r="DK37" s="98"/>
      <c r="DL37" s="98"/>
      <c r="DM37" s="98"/>
      <c r="DN37" s="98"/>
      <c r="DO37" s="98"/>
      <c r="DP37" s="98"/>
      <c r="DQ37" s="98"/>
      <c r="DR37" s="98"/>
      <c r="DS37" s="98"/>
      <c r="DT37" s="98"/>
      <c r="DU37" s="98"/>
      <c r="DV37" s="98"/>
      <c r="DW37" s="98"/>
      <c r="DX37" s="98"/>
      <c r="DY37" s="98"/>
      <c r="DZ37" s="98"/>
      <c r="EA37" s="98"/>
      <c r="EB37" s="98"/>
      <c r="EC37" s="98"/>
      <c r="ED37" s="98"/>
      <c r="EE37" s="98"/>
      <c r="EF37" s="98"/>
      <c r="EG37" s="98"/>
      <c r="EH37" s="98"/>
      <c r="EI37" s="98"/>
      <c r="EJ37" s="98"/>
      <c r="EK37" s="98"/>
      <c r="EL37" s="98"/>
      <c r="EM37" s="98"/>
      <c r="EN37" s="98"/>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8"/>
      <c r="FO37" s="98"/>
      <c r="FP37" s="98"/>
      <c r="FQ37" s="98"/>
      <c r="FR37" s="98"/>
      <c r="FS37" s="98"/>
      <c r="FT37" s="98"/>
      <c r="FU37" s="98"/>
      <c r="FV37" s="98"/>
      <c r="FW37" s="98"/>
      <c r="FX37" s="98"/>
      <c r="FY37" s="98"/>
      <c r="FZ37" s="98"/>
      <c r="GA37" s="98"/>
      <c r="GB37" s="98"/>
      <c r="GC37" s="98"/>
      <c r="GD37" s="98"/>
      <c r="GE37" s="98"/>
      <c r="GF37" s="98"/>
      <c r="GG37" s="98"/>
      <c r="GH37" s="98"/>
      <c r="GI37" s="98"/>
      <c r="GJ37" s="98"/>
      <c r="GK37" s="98"/>
      <c r="GL37" s="98"/>
      <c r="GM37" s="98"/>
    </row>
    <row r="38" spans="1:195">
      <c r="A38" s="100">
        <v>176</v>
      </c>
      <c r="B38" s="98">
        <v>46</v>
      </c>
      <c r="C38" s="98" t="s">
        <v>305</v>
      </c>
      <c r="D38" s="126" t="s">
        <v>235</v>
      </c>
      <c r="E38" s="98">
        <v>1853</v>
      </c>
      <c r="F38" s="98">
        <v>1889</v>
      </c>
      <c r="G38" s="98" t="s">
        <v>9</v>
      </c>
      <c r="H38" s="98" t="s">
        <v>306</v>
      </c>
      <c r="I38" s="98">
        <v>38.1</v>
      </c>
      <c r="J38" s="98">
        <v>3.05</v>
      </c>
      <c r="K38" s="98"/>
      <c r="L38" s="98">
        <v>64</v>
      </c>
      <c r="M38" s="98">
        <v>2</v>
      </c>
      <c r="N38" s="98">
        <v>1.5</v>
      </c>
      <c r="O38" s="98">
        <v>283.5</v>
      </c>
      <c r="P38" s="127">
        <v>18900000</v>
      </c>
      <c r="Q38" s="128">
        <v>1647070.5639168001</v>
      </c>
      <c r="R38" s="98">
        <v>8500</v>
      </c>
      <c r="S38" s="97" t="s">
        <v>307</v>
      </c>
      <c r="T38" s="129">
        <v>18900000</v>
      </c>
      <c r="U38" s="129">
        <v>24.6</v>
      </c>
      <c r="V38" s="127">
        <v>464940000</v>
      </c>
      <c r="W38" s="130" t="s">
        <v>238</v>
      </c>
      <c r="X38" s="129">
        <v>24.4</v>
      </c>
      <c r="Y38" s="98">
        <v>128</v>
      </c>
      <c r="Z38" s="98">
        <v>61</v>
      </c>
      <c r="AA38" s="129">
        <v>94.5</v>
      </c>
      <c r="AB38" s="98">
        <v>1.38</v>
      </c>
      <c r="AC38" s="131"/>
      <c r="AD38" s="131"/>
      <c r="AE38" s="98">
        <v>68810</v>
      </c>
      <c r="AF38" s="129">
        <v>0.75</v>
      </c>
      <c r="AG38" s="98"/>
      <c r="AH38" s="98">
        <v>3.5</v>
      </c>
      <c r="AI38" s="98">
        <v>3.5</v>
      </c>
      <c r="AJ38" s="98" t="s">
        <v>308</v>
      </c>
      <c r="AK38" s="133">
        <f t="shared" si="0"/>
        <v>3.8729508196721314</v>
      </c>
      <c r="AL38" s="134">
        <f t="shared" si="1"/>
        <v>1301.0450213894558</v>
      </c>
      <c r="AM38" s="135">
        <f t="shared" si="2"/>
        <v>1.0081967213114755</v>
      </c>
      <c r="AN38" s="135">
        <f>3600*AF38*SQRT(9.81/X38)</f>
        <v>1711.9984008725489</v>
      </c>
      <c r="AP38" s="151"/>
      <c r="AQ38" s="98"/>
      <c r="AR38" s="98"/>
      <c r="AT38" s="152"/>
      <c r="AU38" s="98"/>
      <c r="AV38" s="98"/>
      <c r="AW38" s="98"/>
      <c r="AX38" s="98"/>
      <c r="AY38" s="98"/>
      <c r="AZ38" s="98"/>
      <c r="BA38" s="98"/>
      <c r="BD38" s="153"/>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c r="CU38" s="98"/>
      <c r="CV38" s="98"/>
      <c r="CW38" s="98"/>
      <c r="CX38" s="98"/>
      <c r="CY38" s="98"/>
      <c r="CZ38" s="98"/>
      <c r="DA38" s="98"/>
      <c r="DB38" s="98"/>
      <c r="DC38" s="98"/>
      <c r="DD38" s="98"/>
      <c r="DE38" s="98"/>
      <c r="DF38" s="98"/>
      <c r="DG38" s="98"/>
      <c r="DH38" s="98"/>
      <c r="DI38" s="98"/>
      <c r="DJ38" s="98"/>
      <c r="DK38" s="98"/>
      <c r="DL38" s="98"/>
      <c r="DM38" s="98"/>
      <c r="DN38" s="98"/>
      <c r="DO38" s="98"/>
      <c r="DP38" s="98"/>
      <c r="DQ38" s="98"/>
      <c r="DR38" s="98"/>
      <c r="DS38" s="98"/>
      <c r="DT38" s="98"/>
      <c r="DU38" s="98"/>
      <c r="DV38" s="98"/>
      <c r="DW38" s="98"/>
      <c r="DX38" s="98"/>
      <c r="DY38" s="98"/>
      <c r="DZ38" s="98"/>
      <c r="EA38" s="98"/>
      <c r="EB38" s="98"/>
      <c r="EC38" s="98"/>
      <c r="ED38" s="98"/>
      <c r="EE38" s="98"/>
      <c r="EF38" s="98"/>
      <c r="EG38" s="98"/>
      <c r="EH38" s="98"/>
      <c r="EI38" s="98"/>
      <c r="EJ38" s="98"/>
      <c r="EK38" s="98"/>
      <c r="EL38" s="98"/>
      <c r="EM38" s="98"/>
      <c r="EN38" s="98"/>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8"/>
      <c r="FO38" s="98"/>
      <c r="FP38" s="98"/>
      <c r="FQ38" s="98"/>
      <c r="FR38" s="98"/>
      <c r="FS38" s="98"/>
      <c r="FT38" s="98"/>
      <c r="FU38" s="98"/>
      <c r="FV38" s="98"/>
      <c r="FW38" s="98"/>
      <c r="FX38" s="98"/>
      <c r="FY38" s="98"/>
      <c r="FZ38" s="98"/>
      <c r="GA38" s="98"/>
      <c r="GB38" s="98"/>
      <c r="GC38" s="98"/>
      <c r="GD38" s="98"/>
      <c r="GE38" s="98"/>
      <c r="GF38" s="98"/>
      <c r="GG38" s="98"/>
      <c r="GH38" s="98"/>
      <c r="GI38" s="98"/>
      <c r="GJ38" s="98"/>
      <c r="GK38" s="98"/>
      <c r="GL38" s="98"/>
      <c r="GM38" s="98"/>
    </row>
    <row r="39" spans="1:195">
      <c r="A39" s="100">
        <v>190</v>
      </c>
      <c r="B39" s="98">
        <v>48</v>
      </c>
      <c r="C39" s="98" t="s">
        <v>309</v>
      </c>
      <c r="D39" s="126" t="s">
        <v>235</v>
      </c>
      <c r="E39" s="98">
        <v>1948</v>
      </c>
      <c r="F39" s="98">
        <v>1977</v>
      </c>
      <c r="G39" s="98" t="s">
        <v>15</v>
      </c>
      <c r="H39" s="98" t="s">
        <v>241</v>
      </c>
      <c r="I39" s="98">
        <v>11.58</v>
      </c>
      <c r="J39" s="98">
        <v>6.1</v>
      </c>
      <c r="K39" s="98"/>
      <c r="L39" s="98">
        <v>19.399999999999999</v>
      </c>
      <c r="M39" s="98">
        <v>1</v>
      </c>
      <c r="N39" s="98">
        <v>1</v>
      </c>
      <c r="O39" s="98"/>
      <c r="P39" s="127">
        <v>505000</v>
      </c>
      <c r="Q39" s="128">
        <v>169967.96974080001</v>
      </c>
      <c r="R39" s="98">
        <v>680</v>
      </c>
      <c r="S39" s="97" t="s">
        <v>310</v>
      </c>
      <c r="T39" s="129">
        <v>777000</v>
      </c>
      <c r="U39" s="129">
        <v>11.3</v>
      </c>
      <c r="V39" s="127">
        <v>8780100</v>
      </c>
      <c r="W39" s="130" t="s">
        <v>238</v>
      </c>
      <c r="X39" s="129">
        <v>12.8</v>
      </c>
      <c r="Y39" s="98">
        <v>35</v>
      </c>
      <c r="Z39" s="98">
        <v>18</v>
      </c>
      <c r="AA39" s="129">
        <v>27.3</v>
      </c>
      <c r="AB39" s="98">
        <v>0.85</v>
      </c>
      <c r="AC39" s="131">
        <v>1</v>
      </c>
      <c r="AD39" s="131">
        <v>0.5</v>
      </c>
      <c r="AE39" s="98">
        <v>9939</v>
      </c>
      <c r="AF39" s="129"/>
      <c r="AG39" s="98">
        <v>0.5</v>
      </c>
      <c r="AH39" s="98"/>
      <c r="AI39" s="98"/>
      <c r="AJ39" s="98" t="s">
        <v>239</v>
      </c>
      <c r="AK39" s="133">
        <f t="shared" si="0"/>
        <v>2.1328125</v>
      </c>
      <c r="AL39" s="134">
        <f t="shared" si="1"/>
        <v>370.50247192382801</v>
      </c>
      <c r="AM39" s="135">
        <f t="shared" si="2"/>
        <v>0.8828125</v>
      </c>
      <c r="AN39" s="135"/>
      <c r="AP39" s="136"/>
      <c r="AQ39" s="154"/>
      <c r="AR39" s="155"/>
      <c r="AU39" s="156"/>
      <c r="AV39" s="157"/>
      <c r="AW39" s="156"/>
      <c r="AX39" s="98"/>
      <c r="AY39" s="98"/>
      <c r="AZ39" s="98"/>
      <c r="BA39" s="98"/>
      <c r="BD39" s="156"/>
      <c r="BE39" s="157"/>
      <c r="BF39" s="156"/>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c r="CU39" s="98"/>
      <c r="CV39" s="98"/>
      <c r="CW39" s="98"/>
      <c r="CX39" s="98"/>
      <c r="CY39" s="98"/>
      <c r="CZ39" s="98"/>
      <c r="DA39" s="98"/>
      <c r="DB39" s="98"/>
      <c r="DC39" s="98"/>
      <c r="DD39" s="98"/>
      <c r="DE39" s="98"/>
      <c r="DF39" s="98"/>
      <c r="DG39" s="98"/>
      <c r="DH39" s="98"/>
      <c r="DI39" s="98"/>
      <c r="DJ39" s="98"/>
      <c r="DK39" s="98"/>
      <c r="DL39" s="98"/>
      <c r="DM39" s="98"/>
      <c r="DN39" s="98"/>
      <c r="DO39" s="98"/>
      <c r="DP39" s="98"/>
      <c r="DQ39" s="98"/>
      <c r="DR39" s="98"/>
      <c r="DS39" s="98"/>
      <c r="DT39" s="98"/>
      <c r="DU39" s="98"/>
      <c r="DV39" s="98"/>
      <c r="DW39" s="98"/>
      <c r="DX39" s="98"/>
      <c r="DY39" s="98"/>
      <c r="DZ39" s="98"/>
      <c r="EA39" s="98"/>
      <c r="EB39" s="98"/>
      <c r="EC39" s="98"/>
      <c r="ED39" s="98"/>
      <c r="EE39" s="98"/>
      <c r="EF39" s="98"/>
      <c r="EG39" s="98"/>
      <c r="EH39" s="98"/>
      <c r="EI39" s="98"/>
      <c r="EJ39" s="98"/>
      <c r="EK39" s="98"/>
      <c r="EL39" s="98"/>
      <c r="EM39" s="98"/>
      <c r="EN39" s="98"/>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8"/>
      <c r="FO39" s="98"/>
      <c r="FP39" s="98"/>
      <c r="FQ39" s="98"/>
      <c r="FR39" s="98"/>
      <c r="FS39" s="98"/>
      <c r="FT39" s="98"/>
      <c r="FU39" s="98"/>
      <c r="FV39" s="98"/>
      <c r="FW39" s="98"/>
      <c r="FX39" s="98"/>
      <c r="FY39" s="98"/>
      <c r="FZ39" s="98"/>
      <c r="GA39" s="98"/>
      <c r="GB39" s="98"/>
      <c r="GC39" s="98"/>
      <c r="GD39" s="98"/>
      <c r="GE39" s="98"/>
      <c r="GF39" s="98"/>
      <c r="GG39" s="98"/>
      <c r="GH39" s="98"/>
      <c r="GI39" s="98"/>
      <c r="GJ39" s="98"/>
      <c r="GK39" s="98"/>
      <c r="GL39" s="98"/>
      <c r="GM39" s="98"/>
    </row>
    <row r="40" spans="1:195">
      <c r="A40" s="100">
        <v>194</v>
      </c>
      <c r="B40" s="98">
        <v>50</v>
      </c>
      <c r="C40" s="98" t="s">
        <v>311</v>
      </c>
      <c r="D40" s="126" t="s">
        <v>235</v>
      </c>
      <c r="E40" s="98"/>
      <c r="F40" s="98">
        <v>1994</v>
      </c>
      <c r="G40" s="98" t="s">
        <v>9</v>
      </c>
      <c r="H40" s="98" t="s">
        <v>241</v>
      </c>
      <c r="I40" s="98"/>
      <c r="J40" s="98"/>
      <c r="K40" s="98"/>
      <c r="L40" s="98">
        <v>8.1</v>
      </c>
      <c r="M40" s="98"/>
      <c r="N40" s="98"/>
      <c r="O40" s="98"/>
      <c r="P40" s="127"/>
      <c r="Q40" s="127"/>
      <c r="R40" s="98"/>
      <c r="S40" s="97"/>
      <c r="T40" s="129">
        <v>177000</v>
      </c>
      <c r="U40" s="129">
        <v>3.66</v>
      </c>
      <c r="V40" s="127">
        <v>647820</v>
      </c>
      <c r="W40" s="130"/>
      <c r="X40" s="158">
        <v>3.2</v>
      </c>
      <c r="Y40" s="98"/>
      <c r="Z40" s="98"/>
      <c r="AA40" s="129">
        <v>14.5</v>
      </c>
      <c r="AB40" s="98">
        <v>1.48</v>
      </c>
      <c r="AC40" s="131"/>
      <c r="AD40" s="131"/>
      <c r="AE40" s="98">
        <v>375.84000000000003</v>
      </c>
      <c r="AF40" s="129"/>
      <c r="AG40" s="98"/>
      <c r="AH40" s="98"/>
      <c r="AI40" s="98"/>
      <c r="AJ40" s="98" t="s">
        <v>23</v>
      </c>
      <c r="AK40" s="133">
        <f t="shared" si="0"/>
        <v>4.53125</v>
      </c>
      <c r="AL40" s="134">
        <f t="shared" si="1"/>
        <v>5401.6113281249991</v>
      </c>
      <c r="AM40" s="135">
        <f t="shared" si="2"/>
        <v>1.14375</v>
      </c>
      <c r="AN40" s="135"/>
      <c r="AR40" s="98"/>
      <c r="AU40" s="142"/>
      <c r="AV40" s="157"/>
      <c r="AW40" s="98"/>
      <c r="AX40" s="98"/>
      <c r="BD40" s="98"/>
      <c r="BE40" s="157"/>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c r="CU40" s="98"/>
      <c r="CV40" s="98"/>
      <c r="CW40" s="98"/>
      <c r="CX40" s="98"/>
      <c r="CY40" s="98"/>
      <c r="CZ40" s="98"/>
      <c r="DA40" s="98"/>
      <c r="DB40" s="98"/>
      <c r="DC40" s="98"/>
      <c r="DD40" s="98"/>
      <c r="DE40" s="98"/>
      <c r="DF40" s="98"/>
      <c r="DG40" s="98"/>
      <c r="DH40" s="98"/>
      <c r="DI40" s="98"/>
      <c r="DJ40" s="98"/>
      <c r="DK40" s="98"/>
      <c r="DL40" s="98"/>
      <c r="DM40" s="98"/>
      <c r="DN40" s="98"/>
      <c r="DO40" s="98"/>
      <c r="DP40" s="98"/>
      <c r="DQ40" s="98"/>
      <c r="DR40" s="98"/>
      <c r="DS40" s="98"/>
      <c r="DT40" s="98"/>
      <c r="DU40" s="98"/>
      <c r="DV40" s="98"/>
      <c r="DW40" s="98"/>
      <c r="DX40" s="98"/>
      <c r="DY40" s="98"/>
      <c r="DZ40" s="98"/>
      <c r="EA40" s="98"/>
      <c r="EB40" s="98"/>
      <c r="EC40" s="98"/>
      <c r="ED40" s="98"/>
      <c r="EE40" s="98"/>
      <c r="EF40" s="98"/>
      <c r="EG40" s="98"/>
      <c r="EH40" s="98"/>
      <c r="EI40" s="98"/>
      <c r="EJ40" s="98"/>
      <c r="EK40" s="98"/>
      <c r="EL40" s="98"/>
      <c r="EM40" s="98"/>
      <c r="EN40" s="98"/>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8"/>
      <c r="FO40" s="98"/>
      <c r="FP40" s="98"/>
      <c r="FQ40" s="98"/>
      <c r="FR40" s="98"/>
      <c r="FS40" s="98"/>
      <c r="FT40" s="98"/>
      <c r="FU40" s="98"/>
      <c r="FV40" s="98"/>
      <c r="FW40" s="98"/>
      <c r="FX40" s="98"/>
      <c r="FY40" s="98"/>
      <c r="FZ40" s="98"/>
      <c r="GA40" s="98"/>
      <c r="GB40" s="98"/>
      <c r="GC40" s="98"/>
      <c r="GD40" s="98"/>
      <c r="GE40" s="98"/>
      <c r="GF40" s="98"/>
      <c r="GG40" s="98"/>
      <c r="GH40" s="98"/>
      <c r="GI40" s="98"/>
      <c r="GJ40" s="98"/>
      <c r="GK40" s="98"/>
      <c r="GL40" s="98"/>
      <c r="GM40" s="98"/>
    </row>
    <row r="41" spans="1:195">
      <c r="A41" s="100">
        <v>197</v>
      </c>
      <c r="B41" s="98">
        <v>51</v>
      </c>
      <c r="C41" s="98" t="s">
        <v>312</v>
      </c>
      <c r="D41" s="126" t="s">
        <v>235</v>
      </c>
      <c r="E41" s="98">
        <v>1930</v>
      </c>
      <c r="F41" s="98">
        <v>1930</v>
      </c>
      <c r="G41" s="98" t="s">
        <v>15</v>
      </c>
      <c r="H41" s="98" t="s">
        <v>241</v>
      </c>
      <c r="I41" s="98"/>
      <c r="J41" s="98">
        <v>4.9000000000000004</v>
      </c>
      <c r="K41" s="98"/>
      <c r="L41" s="98">
        <v>40</v>
      </c>
      <c r="M41" s="98"/>
      <c r="N41" s="98"/>
      <c r="O41" s="98"/>
      <c r="P41" s="98"/>
      <c r="Q41" s="98"/>
      <c r="R41" s="98"/>
      <c r="S41" s="97"/>
      <c r="T41" s="129">
        <v>78900000</v>
      </c>
      <c r="U41" s="129">
        <v>7.9</v>
      </c>
      <c r="V41" s="127">
        <v>623310000</v>
      </c>
      <c r="W41" s="130"/>
      <c r="X41" s="129">
        <v>14</v>
      </c>
      <c r="Y41" s="98"/>
      <c r="Z41" s="98"/>
      <c r="AA41" s="129">
        <v>58.8</v>
      </c>
      <c r="AB41" s="98">
        <v>0.3</v>
      </c>
      <c r="AC41" s="131"/>
      <c r="AD41" s="131"/>
      <c r="AE41" s="98">
        <v>32928</v>
      </c>
      <c r="AF41" s="129"/>
      <c r="AG41" s="98"/>
      <c r="AH41" s="98"/>
      <c r="AI41" s="98"/>
      <c r="AJ41" s="98" t="s">
        <v>246</v>
      </c>
      <c r="AK41" s="133">
        <f t="shared" si="0"/>
        <v>4.2</v>
      </c>
      <c r="AL41" s="134">
        <f t="shared" si="1"/>
        <v>28753.644314868805</v>
      </c>
      <c r="AM41" s="135">
        <f t="shared" si="2"/>
        <v>0.56428571428571428</v>
      </c>
      <c r="AN41" s="135"/>
      <c r="AY41" s="159"/>
      <c r="AZ41" s="159"/>
      <c r="BA41" s="159"/>
      <c r="BB41" s="159"/>
      <c r="BD41" s="160"/>
      <c r="BE41" s="160"/>
      <c r="BF41" s="160"/>
      <c r="BG41" s="160"/>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c r="CU41" s="98"/>
      <c r="CV41" s="98"/>
      <c r="CW41" s="98"/>
      <c r="CX41" s="98"/>
      <c r="CY41" s="98"/>
      <c r="CZ41" s="98"/>
      <c r="DA41" s="98"/>
      <c r="DB41" s="98"/>
      <c r="DC41" s="98"/>
      <c r="DD41" s="98"/>
      <c r="DE41" s="98"/>
      <c r="DF41" s="98"/>
      <c r="DG41" s="98"/>
      <c r="DH41" s="98"/>
      <c r="DI41" s="98"/>
      <c r="DJ41" s="98"/>
      <c r="DK41" s="98"/>
      <c r="DL41" s="98"/>
      <c r="DM41" s="98"/>
      <c r="DN41" s="98"/>
      <c r="DO41" s="98"/>
      <c r="DP41" s="98"/>
      <c r="DQ41" s="98"/>
      <c r="DR41" s="98"/>
      <c r="DS41" s="98"/>
      <c r="DT41" s="98"/>
      <c r="DU41" s="98"/>
      <c r="DV41" s="98"/>
      <c r="DW41" s="98"/>
      <c r="DX41" s="98"/>
      <c r="DY41" s="98"/>
      <c r="DZ41" s="98"/>
      <c r="EA41" s="98"/>
      <c r="EB41" s="98"/>
      <c r="EC41" s="98"/>
      <c r="ED41" s="98"/>
      <c r="EE41" s="98"/>
      <c r="EF41" s="98"/>
      <c r="EG41" s="98"/>
      <c r="EH41" s="98"/>
      <c r="EI41" s="98"/>
      <c r="EJ41" s="98"/>
      <c r="EK41" s="98"/>
      <c r="EL41" s="98"/>
      <c r="EM41" s="98"/>
      <c r="EN41" s="98"/>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8"/>
      <c r="FO41" s="98"/>
      <c r="FP41" s="98"/>
      <c r="FQ41" s="98"/>
      <c r="FR41" s="98"/>
      <c r="FS41" s="98"/>
      <c r="FT41" s="98"/>
      <c r="FU41" s="98"/>
      <c r="FV41" s="98"/>
      <c r="FW41" s="98"/>
      <c r="FX41" s="98"/>
      <c r="FY41" s="98"/>
      <c r="FZ41" s="98"/>
      <c r="GA41" s="98"/>
      <c r="GB41" s="98"/>
      <c r="GC41" s="98"/>
      <c r="GD41" s="98"/>
      <c r="GE41" s="98"/>
      <c r="GF41" s="98"/>
      <c r="GG41" s="98"/>
      <c r="GH41" s="98"/>
      <c r="GI41" s="98"/>
      <c r="GJ41" s="98"/>
      <c r="GK41" s="98"/>
      <c r="GL41" s="98"/>
      <c r="GM41" s="98"/>
    </row>
    <row r="42" spans="1:195">
      <c r="A42" s="100">
        <v>200</v>
      </c>
      <c r="B42" s="98">
        <v>52</v>
      </c>
      <c r="C42" s="98" t="s">
        <v>313</v>
      </c>
      <c r="D42" s="126" t="s">
        <v>235</v>
      </c>
      <c r="E42" s="98">
        <v>1894</v>
      </c>
      <c r="F42" s="98">
        <v>1904</v>
      </c>
      <c r="G42" s="98" t="s">
        <v>15</v>
      </c>
      <c r="H42" s="98" t="s">
        <v>8</v>
      </c>
      <c r="I42" s="98">
        <v>14.5</v>
      </c>
      <c r="J42" s="98"/>
      <c r="K42" s="98"/>
      <c r="L42" s="98">
        <v>42.7</v>
      </c>
      <c r="M42" s="98"/>
      <c r="N42" s="98"/>
      <c r="O42" s="98"/>
      <c r="P42" s="127">
        <v>7750000</v>
      </c>
      <c r="Q42" s="127"/>
      <c r="R42" s="98">
        <v>2320</v>
      </c>
      <c r="S42" s="97" t="s">
        <v>275</v>
      </c>
      <c r="T42" s="129">
        <v>31500000</v>
      </c>
      <c r="U42" s="129">
        <v>13.7</v>
      </c>
      <c r="V42" s="127">
        <v>431550000</v>
      </c>
      <c r="W42" s="130"/>
      <c r="X42" s="129">
        <v>14.6</v>
      </c>
      <c r="Y42" s="98"/>
      <c r="Z42" s="98"/>
      <c r="AA42" s="129">
        <v>130</v>
      </c>
      <c r="AB42" s="98">
        <v>0.52</v>
      </c>
      <c r="AC42" s="131"/>
      <c r="AD42" s="131"/>
      <c r="AE42" s="98">
        <v>81044.600000000006</v>
      </c>
      <c r="AF42" s="129"/>
      <c r="AG42" s="98">
        <v>2</v>
      </c>
      <c r="AH42" s="98"/>
      <c r="AI42" s="98"/>
      <c r="AJ42" s="98" t="s">
        <v>314</v>
      </c>
      <c r="AK42" s="133">
        <f t="shared" si="0"/>
        <v>8.9041095890410968</v>
      </c>
      <c r="AL42" s="134">
        <f t="shared" si="1"/>
        <v>10121.665634149664</v>
      </c>
      <c r="AM42" s="135">
        <f t="shared" si="2"/>
        <v>0.93835616438356162</v>
      </c>
      <c r="AN42" s="135"/>
      <c r="AP42" s="141"/>
      <c r="AQ42" s="142"/>
      <c r="AR42" s="142"/>
      <c r="AT42" s="142"/>
      <c r="AU42" s="159"/>
      <c r="AV42" s="159"/>
      <c r="AW42" s="161"/>
      <c r="AX42" s="161"/>
      <c r="AY42" s="161"/>
      <c r="AZ42" s="161"/>
      <c r="BA42" s="161"/>
      <c r="BB42" s="161"/>
      <c r="BF42" s="162"/>
      <c r="BG42" s="162"/>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c r="CU42" s="98"/>
      <c r="CV42" s="98"/>
      <c r="CW42" s="98"/>
      <c r="CX42" s="98"/>
      <c r="CY42" s="98"/>
      <c r="CZ42" s="98"/>
      <c r="DA42" s="98"/>
      <c r="DB42" s="98"/>
      <c r="DC42" s="98"/>
      <c r="DD42" s="98"/>
      <c r="DE42" s="98"/>
      <c r="DF42" s="98"/>
      <c r="DG42" s="98"/>
      <c r="DH42" s="98"/>
      <c r="DI42" s="98"/>
      <c r="DJ42" s="98"/>
      <c r="DK42" s="98"/>
      <c r="DL42" s="98"/>
      <c r="DM42" s="98"/>
      <c r="DN42" s="98"/>
      <c r="DO42" s="98"/>
      <c r="DP42" s="98"/>
      <c r="DQ42" s="98"/>
      <c r="DR42" s="98"/>
      <c r="DS42" s="98"/>
      <c r="DT42" s="98"/>
      <c r="DU42" s="98"/>
      <c r="DV42" s="98"/>
      <c r="DW42" s="98"/>
      <c r="DX42" s="98"/>
      <c r="DY42" s="98"/>
      <c r="DZ42" s="98"/>
      <c r="EA42" s="98"/>
      <c r="EB42" s="98"/>
      <c r="EC42" s="98"/>
      <c r="ED42" s="98"/>
      <c r="EE42" s="98"/>
      <c r="EF42" s="98"/>
      <c r="EG42" s="98"/>
      <c r="EH42" s="98"/>
      <c r="EI42" s="98"/>
      <c r="EJ42" s="98"/>
      <c r="EK42" s="98"/>
      <c r="EL42" s="98"/>
      <c r="EM42" s="98"/>
      <c r="EN42" s="98"/>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8"/>
      <c r="FO42" s="98"/>
      <c r="FP42" s="98"/>
      <c r="FQ42" s="98"/>
      <c r="FR42" s="98"/>
      <c r="FS42" s="98"/>
      <c r="FT42" s="98"/>
      <c r="FU42" s="98"/>
      <c r="FV42" s="98"/>
      <c r="FW42" s="98"/>
      <c r="FX42" s="98"/>
      <c r="FY42" s="98"/>
      <c r="FZ42" s="98"/>
      <c r="GA42" s="98"/>
      <c r="GB42" s="98"/>
      <c r="GC42" s="98"/>
      <c r="GD42" s="98"/>
      <c r="GE42" s="98"/>
      <c r="GF42" s="98"/>
      <c r="GG42" s="98"/>
      <c r="GH42" s="98"/>
      <c r="GI42" s="98"/>
      <c r="GJ42" s="98"/>
      <c r="GK42" s="98"/>
      <c r="GL42" s="98"/>
      <c r="GM42" s="98"/>
    </row>
    <row r="43" spans="1:195">
      <c r="A43" s="100">
        <v>208</v>
      </c>
      <c r="B43" s="98">
        <v>54</v>
      </c>
      <c r="C43" s="98" t="s">
        <v>315</v>
      </c>
      <c r="D43" s="126" t="s">
        <v>235</v>
      </c>
      <c r="E43" s="98">
        <v>1899</v>
      </c>
      <c r="F43" s="98">
        <v>1899</v>
      </c>
      <c r="G43" s="98" t="s">
        <v>15</v>
      </c>
      <c r="H43" s="98" t="s">
        <v>241</v>
      </c>
      <c r="I43" s="98">
        <v>15.24</v>
      </c>
      <c r="J43" s="98">
        <v>4.9000000000000004</v>
      </c>
      <c r="K43" s="98"/>
      <c r="L43" s="98">
        <v>47.4</v>
      </c>
      <c r="M43" s="98">
        <v>3</v>
      </c>
      <c r="N43" s="98">
        <v>2</v>
      </c>
      <c r="O43" s="98"/>
      <c r="P43" s="127">
        <v>865000</v>
      </c>
      <c r="Q43" s="128">
        <v>174014.82616319999</v>
      </c>
      <c r="R43" s="98"/>
      <c r="S43" s="97"/>
      <c r="T43" s="129">
        <v>789000</v>
      </c>
      <c r="U43" s="129">
        <v>14</v>
      </c>
      <c r="V43" s="127">
        <v>11046000</v>
      </c>
      <c r="W43" s="130" t="s">
        <v>238</v>
      </c>
      <c r="X43" s="129">
        <v>17.100000000000001</v>
      </c>
      <c r="Y43" s="98">
        <v>30</v>
      </c>
      <c r="Z43" s="98">
        <v>10.4</v>
      </c>
      <c r="AA43" s="129">
        <v>18.899999999999999</v>
      </c>
      <c r="AB43" s="98">
        <v>0.65</v>
      </c>
      <c r="AC43" s="131">
        <v>0.625</v>
      </c>
      <c r="AD43" s="131">
        <v>0.625</v>
      </c>
      <c r="AE43" s="98">
        <v>12386</v>
      </c>
      <c r="AF43" s="129"/>
      <c r="AG43" s="98">
        <v>1</v>
      </c>
      <c r="AH43" s="98">
        <v>1</v>
      </c>
      <c r="AI43" s="98"/>
      <c r="AJ43" s="98" t="s">
        <v>255</v>
      </c>
      <c r="AK43" s="133">
        <f t="shared" si="0"/>
        <v>1.1052631578947367</v>
      </c>
      <c r="AL43" s="134">
        <f t="shared" si="1"/>
        <v>157.79334112100466</v>
      </c>
      <c r="AM43" s="135">
        <f t="shared" si="2"/>
        <v>0.81871345029239762</v>
      </c>
      <c r="AN43" s="135"/>
      <c r="AP43" s="136"/>
      <c r="AQ43" s="163"/>
      <c r="AR43" s="142"/>
      <c r="AT43" s="159"/>
      <c r="AU43" s="161"/>
      <c r="AW43" s="159"/>
      <c r="AY43" s="161"/>
      <c r="AZ43" s="161"/>
      <c r="BA43" s="161"/>
      <c r="BD43" s="164"/>
      <c r="BE43" s="165"/>
      <c r="BF43" s="161"/>
      <c r="BG43" s="161"/>
      <c r="BH43" s="148"/>
      <c r="BI43" s="148"/>
      <c r="BJ43" s="148"/>
      <c r="BK43" s="14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c r="CU43" s="98"/>
      <c r="CV43" s="98"/>
      <c r="CW43" s="98"/>
      <c r="CX43" s="98"/>
      <c r="CY43" s="98"/>
      <c r="CZ43" s="98"/>
      <c r="DA43" s="98"/>
      <c r="DB43" s="98"/>
      <c r="DC43" s="98"/>
      <c r="DD43" s="98"/>
      <c r="DE43" s="98"/>
      <c r="DF43" s="98"/>
      <c r="DG43" s="98"/>
      <c r="DH43" s="98"/>
      <c r="DI43" s="98"/>
      <c r="DJ43" s="98"/>
      <c r="DK43" s="98"/>
      <c r="DL43" s="98"/>
      <c r="DM43" s="98"/>
      <c r="DN43" s="98"/>
      <c r="DO43" s="98"/>
      <c r="DP43" s="98"/>
      <c r="DQ43" s="98"/>
      <c r="DR43" s="98"/>
      <c r="DS43" s="98"/>
      <c r="DT43" s="98"/>
      <c r="DU43" s="98"/>
      <c r="DV43" s="98"/>
      <c r="DW43" s="98"/>
      <c r="DX43" s="98"/>
      <c r="DY43" s="98"/>
      <c r="DZ43" s="98"/>
      <c r="EA43" s="98"/>
      <c r="EB43" s="98"/>
      <c r="EC43" s="98"/>
      <c r="ED43" s="98"/>
      <c r="EE43" s="98"/>
      <c r="EF43" s="98"/>
      <c r="EG43" s="98"/>
      <c r="EH43" s="98"/>
      <c r="EI43" s="98"/>
      <c r="EJ43" s="98"/>
      <c r="EK43" s="98"/>
      <c r="EL43" s="98"/>
      <c r="EM43" s="98"/>
      <c r="EN43" s="98"/>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8"/>
      <c r="FO43" s="98"/>
      <c r="FP43" s="98"/>
      <c r="FQ43" s="98"/>
      <c r="FR43" s="98"/>
      <c r="FS43" s="98"/>
      <c r="FT43" s="98"/>
      <c r="FU43" s="98"/>
      <c r="FV43" s="98"/>
      <c r="FW43" s="98"/>
      <c r="FX43" s="98"/>
      <c r="FY43" s="98"/>
      <c r="FZ43" s="98"/>
      <c r="GA43" s="98"/>
      <c r="GB43" s="98"/>
      <c r="GC43" s="98"/>
      <c r="GD43" s="98"/>
      <c r="GE43" s="98"/>
      <c r="GF43" s="98"/>
      <c r="GG43" s="98"/>
      <c r="GH43" s="98"/>
      <c r="GI43" s="98"/>
      <c r="GJ43" s="98"/>
      <c r="GK43" s="98"/>
      <c r="GL43" s="98"/>
      <c r="GM43" s="98"/>
    </row>
    <row r="44" spans="1:195">
      <c r="A44" s="100">
        <v>210</v>
      </c>
      <c r="B44" s="98">
        <v>55</v>
      </c>
      <c r="C44" s="98" t="s">
        <v>316</v>
      </c>
      <c r="D44" s="126" t="s">
        <v>235</v>
      </c>
      <c r="E44" s="98"/>
      <c r="F44" s="98"/>
      <c r="G44" s="98" t="s">
        <v>15</v>
      </c>
      <c r="H44" s="98" t="s">
        <v>8</v>
      </c>
      <c r="I44" s="98"/>
      <c r="J44" s="98"/>
      <c r="K44" s="98"/>
      <c r="L44" s="98">
        <v>19.8</v>
      </c>
      <c r="M44" s="98"/>
      <c r="N44" s="98"/>
      <c r="O44" s="98"/>
      <c r="P44" s="127"/>
      <c r="Q44" s="128"/>
      <c r="R44" s="98"/>
      <c r="S44" s="97"/>
      <c r="T44" s="129">
        <v>680000</v>
      </c>
      <c r="U44" s="129">
        <v>6.71</v>
      </c>
      <c r="V44" s="127">
        <v>4562800</v>
      </c>
      <c r="W44" s="130"/>
      <c r="X44" s="129">
        <v>7.92</v>
      </c>
      <c r="Y44" s="98"/>
      <c r="Z44" s="98"/>
      <c r="AA44" s="129">
        <v>16.8</v>
      </c>
      <c r="AB44" s="98">
        <v>1.54</v>
      </c>
      <c r="AC44" s="131"/>
      <c r="AD44" s="131"/>
      <c r="AE44" s="98">
        <v>2634.5088000000005</v>
      </c>
      <c r="AF44" s="129"/>
      <c r="AG44" s="98"/>
      <c r="AH44" s="98"/>
      <c r="AI44" s="98"/>
      <c r="AJ44" s="98" t="s">
        <v>248</v>
      </c>
      <c r="AK44" s="133">
        <f t="shared" si="0"/>
        <v>2.1212121212121211</v>
      </c>
      <c r="AL44" s="134">
        <f t="shared" si="1"/>
        <v>1368.7791082954843</v>
      </c>
      <c r="AM44" s="135">
        <f t="shared" si="2"/>
        <v>0.84722222222222221</v>
      </c>
      <c r="AN44" s="135"/>
      <c r="AP44" s="136"/>
      <c r="AQ44" s="163"/>
      <c r="AR44" s="142"/>
      <c r="AT44" s="98"/>
      <c r="AV44" s="98"/>
      <c r="AX44" s="166"/>
      <c r="AY44" s="161"/>
      <c r="AZ44" s="161"/>
      <c r="BA44" s="161"/>
      <c r="BB44" s="161"/>
      <c r="BD44" s="159"/>
      <c r="BE44" s="159"/>
      <c r="BG44" s="159"/>
      <c r="BH44" s="161"/>
      <c r="BI44" s="98"/>
      <c r="BJ44" s="142"/>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c r="CU44" s="98"/>
      <c r="CV44" s="98"/>
      <c r="CW44" s="98"/>
      <c r="CX44" s="98"/>
      <c r="CY44" s="98"/>
      <c r="CZ44" s="98"/>
      <c r="DA44" s="98"/>
      <c r="DB44" s="98"/>
      <c r="DC44" s="98"/>
      <c r="DD44" s="98"/>
      <c r="DE44" s="98"/>
      <c r="DF44" s="98"/>
      <c r="DG44" s="98"/>
      <c r="DH44" s="98"/>
      <c r="DI44" s="98"/>
      <c r="DJ44" s="98"/>
      <c r="DK44" s="98"/>
      <c r="DL44" s="98"/>
      <c r="DM44" s="98"/>
      <c r="DN44" s="98"/>
      <c r="DO44" s="98"/>
      <c r="DP44" s="98"/>
      <c r="DQ44" s="98"/>
      <c r="DR44" s="98"/>
      <c r="DS44" s="98"/>
      <c r="DT44" s="98"/>
      <c r="DU44" s="98"/>
      <c r="DV44" s="98"/>
      <c r="DW44" s="98"/>
      <c r="DX44" s="98"/>
      <c r="DY44" s="98"/>
      <c r="DZ44" s="98"/>
      <c r="EA44" s="98"/>
      <c r="EB44" s="98"/>
      <c r="EC44" s="98"/>
      <c r="ED44" s="98"/>
      <c r="EE44" s="98"/>
      <c r="EF44" s="98"/>
      <c r="EG44" s="98"/>
      <c r="EH44" s="98"/>
      <c r="EI44" s="98"/>
      <c r="EJ44" s="98"/>
      <c r="EK44" s="98"/>
      <c r="EL44" s="98"/>
      <c r="EM44" s="98"/>
      <c r="EN44" s="98"/>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8"/>
      <c r="FO44" s="98"/>
      <c r="FP44" s="98"/>
      <c r="FQ44" s="98"/>
      <c r="FR44" s="98"/>
      <c r="FS44" s="98"/>
      <c r="FT44" s="98"/>
      <c r="FU44" s="98"/>
      <c r="FV44" s="98"/>
      <c r="FW44" s="98"/>
      <c r="FX44" s="98"/>
      <c r="FY44" s="98"/>
      <c r="FZ44" s="98"/>
      <c r="GA44" s="98"/>
      <c r="GB44" s="98"/>
      <c r="GC44" s="98"/>
      <c r="GD44" s="98"/>
      <c r="GE44" s="98"/>
      <c r="GF44" s="98"/>
      <c r="GG44" s="98"/>
      <c r="GH44" s="98"/>
      <c r="GI44" s="98"/>
      <c r="GJ44" s="98"/>
      <c r="GK44" s="98"/>
      <c r="GL44" s="98"/>
      <c r="GM44" s="98"/>
    </row>
    <row r="45" spans="1:195">
      <c r="A45" s="100">
        <v>214</v>
      </c>
      <c r="B45" s="98">
        <v>56</v>
      </c>
      <c r="C45" s="98" t="s">
        <v>317</v>
      </c>
      <c r="D45" s="126" t="s">
        <v>235</v>
      </c>
      <c r="E45" s="98">
        <v>1966</v>
      </c>
      <c r="F45" s="98">
        <v>1966</v>
      </c>
      <c r="G45" s="98" t="s">
        <v>15</v>
      </c>
      <c r="H45" s="98" t="s">
        <v>241</v>
      </c>
      <c r="I45" s="98">
        <v>13</v>
      </c>
      <c r="J45" s="98">
        <v>6.1</v>
      </c>
      <c r="K45" s="98"/>
      <c r="L45" s="98">
        <v>28</v>
      </c>
      <c r="M45" s="98"/>
      <c r="N45" s="98"/>
      <c r="O45" s="98"/>
      <c r="P45" s="127">
        <v>1590000</v>
      </c>
      <c r="Q45" s="127"/>
      <c r="R45" s="98">
        <v>290</v>
      </c>
      <c r="S45" s="97" t="s">
        <v>275</v>
      </c>
      <c r="T45" s="129">
        <v>4090000</v>
      </c>
      <c r="U45" s="129">
        <v>6.25</v>
      </c>
      <c r="V45" s="127">
        <v>25562500</v>
      </c>
      <c r="W45" s="130"/>
      <c r="X45" s="129">
        <v>8.69</v>
      </c>
      <c r="Y45" s="98"/>
      <c r="Z45" s="98"/>
      <c r="AA45" s="129">
        <v>39.200000000000003</v>
      </c>
      <c r="AB45" s="98">
        <v>1.18</v>
      </c>
      <c r="AC45" s="131"/>
      <c r="AD45" s="131"/>
      <c r="AE45" s="98">
        <v>9538.1440000000002</v>
      </c>
      <c r="AF45" s="129"/>
      <c r="AG45" s="98">
        <v>3</v>
      </c>
      <c r="AH45" s="98"/>
      <c r="AI45" s="98"/>
      <c r="AJ45" s="98" t="s">
        <v>318</v>
      </c>
      <c r="AK45" s="133">
        <f t="shared" si="0"/>
        <v>4.5109321058688154</v>
      </c>
      <c r="AL45" s="134">
        <f t="shared" si="1"/>
        <v>6232.5242743220178</v>
      </c>
      <c r="AM45" s="135">
        <f t="shared" si="2"/>
        <v>0.71921749136939017</v>
      </c>
      <c r="AN45" s="135"/>
      <c r="AP45" s="136"/>
      <c r="AQ45" s="163"/>
      <c r="AR45" s="142"/>
      <c r="AT45" s="98"/>
      <c r="AV45" s="98"/>
      <c r="AX45" s="166"/>
      <c r="AY45" s="161"/>
      <c r="AZ45" s="161"/>
      <c r="BA45" s="161"/>
      <c r="BB45" s="161"/>
      <c r="BG45" s="98"/>
      <c r="BH45" s="98"/>
      <c r="BI45" s="98"/>
      <c r="BJ45" s="98"/>
      <c r="BK45" s="98"/>
      <c r="BL45" s="98"/>
      <c r="BM45" s="98"/>
      <c r="BN45" s="98"/>
      <c r="BO45" s="98"/>
      <c r="BP45" s="98"/>
      <c r="BQ45" s="98"/>
      <c r="BR45" s="98"/>
      <c r="BS45" s="98"/>
      <c r="BT45" s="98"/>
      <c r="BU45" s="98"/>
      <c r="BV45" s="98"/>
      <c r="BW45" s="98"/>
      <c r="BX45" s="98"/>
      <c r="BY45" s="98"/>
      <c r="BZ45" s="98"/>
      <c r="CA45" s="98"/>
      <c r="CB45" s="98"/>
      <c r="CC45" s="98"/>
      <c r="CD45" s="98"/>
      <c r="CE45" s="98"/>
      <c r="CF45" s="98"/>
      <c r="CG45" s="98"/>
      <c r="CH45" s="98"/>
      <c r="CI45" s="98"/>
      <c r="CJ45" s="98"/>
      <c r="CK45" s="98"/>
      <c r="CL45" s="98"/>
      <c r="CM45" s="98"/>
      <c r="CN45" s="98"/>
      <c r="CO45" s="98"/>
      <c r="CP45" s="98"/>
      <c r="CQ45" s="98"/>
      <c r="CR45" s="98"/>
      <c r="CS45" s="98"/>
      <c r="CT45" s="98"/>
      <c r="CU45" s="98"/>
      <c r="CV45" s="98"/>
      <c r="CW45" s="98"/>
      <c r="CX45" s="98"/>
      <c r="CY45" s="98"/>
      <c r="CZ45" s="98"/>
      <c r="DA45" s="98"/>
      <c r="DB45" s="98"/>
      <c r="DC45" s="98"/>
      <c r="DD45" s="98"/>
      <c r="DE45" s="98"/>
      <c r="DF45" s="98"/>
      <c r="DG45" s="98"/>
      <c r="DH45" s="98"/>
      <c r="DI45" s="98"/>
      <c r="DJ45" s="98"/>
      <c r="DK45" s="98"/>
      <c r="DL45" s="98"/>
      <c r="DM45" s="98"/>
      <c r="DN45" s="98"/>
      <c r="DO45" s="98"/>
      <c r="DP45" s="98"/>
      <c r="DQ45" s="98"/>
      <c r="DR45" s="98"/>
      <c r="DS45" s="98"/>
      <c r="DT45" s="98"/>
      <c r="DU45" s="98"/>
      <c r="DV45" s="98"/>
      <c r="DW45" s="98"/>
      <c r="DX45" s="98"/>
      <c r="DY45" s="98"/>
      <c r="DZ45" s="98"/>
      <c r="EA45" s="98"/>
      <c r="EB45" s="98"/>
      <c r="EC45" s="98"/>
      <c r="ED45" s="98"/>
      <c r="EE45" s="98"/>
      <c r="EF45" s="98"/>
      <c r="EG45" s="98"/>
      <c r="EH45" s="98"/>
      <c r="EI45" s="98"/>
      <c r="EJ45" s="98"/>
      <c r="EK45" s="98"/>
      <c r="EL45" s="98"/>
      <c r="EM45" s="98"/>
      <c r="EN45" s="98"/>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8"/>
      <c r="FO45" s="98"/>
      <c r="FP45" s="98"/>
      <c r="FQ45" s="98"/>
      <c r="FR45" s="98"/>
      <c r="FS45" s="98"/>
      <c r="FT45" s="98"/>
      <c r="FU45" s="98"/>
      <c r="FV45" s="98"/>
      <c r="FW45" s="98"/>
      <c r="FX45" s="98"/>
      <c r="FY45" s="98"/>
      <c r="FZ45" s="98"/>
      <c r="GA45" s="98"/>
      <c r="GB45" s="98"/>
      <c r="GC45" s="98"/>
      <c r="GD45" s="98"/>
      <c r="GE45" s="98"/>
      <c r="GF45" s="98"/>
      <c r="GG45" s="98"/>
      <c r="GH45" s="98"/>
      <c r="GI45" s="98"/>
      <c r="GJ45" s="98"/>
      <c r="GK45" s="98"/>
      <c r="GL45" s="98"/>
      <c r="GM45" s="98"/>
    </row>
    <row r="46" spans="1:195">
      <c r="A46" s="100">
        <v>216</v>
      </c>
      <c r="B46" s="98">
        <v>57</v>
      </c>
      <c r="C46" s="98" t="s">
        <v>319</v>
      </c>
      <c r="D46" s="126" t="s">
        <v>235</v>
      </c>
      <c r="E46" s="98">
        <v>1965</v>
      </c>
      <c r="F46" s="98">
        <v>1994</v>
      </c>
      <c r="G46" s="98" t="s">
        <v>9</v>
      </c>
      <c r="H46" s="98" t="s">
        <v>241</v>
      </c>
      <c r="I46" s="98"/>
      <c r="J46" s="98"/>
      <c r="K46" s="98"/>
      <c r="L46" s="98">
        <v>28</v>
      </c>
      <c r="M46" s="98"/>
      <c r="N46" s="98"/>
      <c r="O46" s="98"/>
      <c r="P46" s="127"/>
      <c r="Q46" s="127"/>
      <c r="R46" s="98"/>
      <c r="S46" s="97"/>
      <c r="T46" s="129">
        <v>4780000</v>
      </c>
      <c r="U46" s="158">
        <v>9</v>
      </c>
      <c r="V46" s="127">
        <v>43020000</v>
      </c>
      <c r="W46" s="130"/>
      <c r="X46" s="129">
        <v>8.5299999999999994</v>
      </c>
      <c r="Y46" s="98"/>
      <c r="Z46" s="98"/>
      <c r="AA46" s="129">
        <v>47.2</v>
      </c>
      <c r="AB46" s="98">
        <v>0.33</v>
      </c>
      <c r="AC46" s="131"/>
      <c r="AD46" s="131"/>
      <c r="AE46" s="98">
        <v>11273.248</v>
      </c>
      <c r="AF46" s="129"/>
      <c r="AG46" s="98"/>
      <c r="AH46" s="98"/>
      <c r="AI46" s="98"/>
      <c r="AJ46" s="98" t="s">
        <v>23</v>
      </c>
      <c r="AK46" s="133">
        <f t="shared" si="0"/>
        <v>5.5334114888628374</v>
      </c>
      <c r="AL46" s="134">
        <f t="shared" si="1"/>
        <v>7701.5972389238987</v>
      </c>
      <c r="AM46" s="135">
        <f t="shared" si="2"/>
        <v>1.0550996483001174</v>
      </c>
      <c r="AN46" s="135"/>
      <c r="AP46" s="167"/>
      <c r="AQ46" s="163"/>
      <c r="AR46" s="142"/>
      <c r="AT46" s="98"/>
      <c r="AV46" s="98"/>
      <c r="AX46" s="166"/>
      <c r="AY46" s="161"/>
      <c r="AZ46" s="161"/>
      <c r="BA46" s="161"/>
      <c r="BB46" s="161"/>
      <c r="BD46" s="98"/>
      <c r="BG46" s="98"/>
      <c r="BH46" s="98"/>
      <c r="BI46" s="98"/>
      <c r="BJ46" s="98"/>
      <c r="BK46" s="98"/>
      <c r="BL46" s="98"/>
      <c r="BM46" s="98"/>
      <c r="BN46" s="98"/>
      <c r="BO46" s="98"/>
      <c r="BP46" s="98"/>
      <c r="BQ46" s="98"/>
      <c r="BR46" s="98"/>
      <c r="BS46" s="98"/>
      <c r="BT46" s="98"/>
      <c r="BU46" s="98"/>
      <c r="BV46" s="98"/>
      <c r="BW46" s="98"/>
      <c r="BX46" s="98"/>
      <c r="BY46" s="98"/>
      <c r="BZ46" s="98"/>
      <c r="CA46" s="98"/>
      <c r="CB46" s="98"/>
      <c r="CC46" s="98"/>
      <c r="CD46" s="98"/>
      <c r="CE46" s="98"/>
      <c r="CF46" s="98"/>
      <c r="CG46" s="98"/>
      <c r="CH46" s="98"/>
      <c r="CI46" s="98"/>
      <c r="CJ46" s="98"/>
      <c r="CK46" s="98"/>
      <c r="CL46" s="98"/>
      <c r="CM46" s="98"/>
      <c r="CN46" s="98"/>
      <c r="CO46" s="98"/>
      <c r="CP46" s="98"/>
      <c r="CQ46" s="98"/>
      <c r="CR46" s="98"/>
      <c r="CS46" s="98"/>
      <c r="CT46" s="98"/>
      <c r="CU46" s="98"/>
      <c r="CV46" s="98"/>
      <c r="CW46" s="98"/>
      <c r="CX46" s="98"/>
      <c r="CY46" s="98"/>
      <c r="CZ46" s="98"/>
      <c r="DA46" s="98"/>
      <c r="DB46" s="98"/>
      <c r="DC46" s="98"/>
      <c r="DD46" s="98"/>
      <c r="DE46" s="98"/>
      <c r="DF46" s="98"/>
      <c r="DG46" s="98"/>
      <c r="DH46" s="98"/>
      <c r="DI46" s="98"/>
      <c r="DJ46" s="98"/>
      <c r="DK46" s="98"/>
      <c r="DL46" s="98"/>
      <c r="DM46" s="98"/>
      <c r="DN46" s="98"/>
      <c r="DO46" s="98"/>
      <c r="DP46" s="98"/>
      <c r="DQ46" s="98"/>
      <c r="DR46" s="98"/>
      <c r="DS46" s="98"/>
      <c r="DT46" s="98"/>
      <c r="DU46" s="98"/>
      <c r="DV46" s="98"/>
      <c r="DW46" s="98"/>
      <c r="DX46" s="98"/>
      <c r="DY46" s="98"/>
      <c r="DZ46" s="98"/>
      <c r="EA46" s="98"/>
      <c r="EB46" s="98"/>
      <c r="EC46" s="98"/>
      <c r="ED46" s="98"/>
      <c r="EE46" s="98"/>
      <c r="EF46" s="98"/>
      <c r="EG46" s="98"/>
      <c r="EH46" s="98"/>
      <c r="EI46" s="98"/>
      <c r="EJ46" s="98"/>
      <c r="EK46" s="98"/>
      <c r="EL46" s="98"/>
      <c r="EM46" s="98"/>
      <c r="EN46" s="98"/>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8"/>
      <c r="FO46" s="98"/>
      <c r="FP46" s="98"/>
      <c r="FQ46" s="98"/>
      <c r="FR46" s="98"/>
      <c r="FS46" s="98"/>
      <c r="FT46" s="98"/>
      <c r="FU46" s="98"/>
      <c r="FV46" s="98"/>
      <c r="FW46" s="98"/>
      <c r="FX46" s="98"/>
      <c r="FY46" s="98"/>
      <c r="FZ46" s="98"/>
      <c r="GA46" s="98"/>
      <c r="GB46" s="98"/>
      <c r="GC46" s="98"/>
      <c r="GD46" s="98"/>
      <c r="GE46" s="98"/>
      <c r="GF46" s="98"/>
      <c r="GG46" s="98"/>
      <c r="GH46" s="98"/>
      <c r="GI46" s="98"/>
      <c r="GJ46" s="98"/>
      <c r="GK46" s="98"/>
      <c r="GL46" s="98"/>
      <c r="GM46" s="98"/>
    </row>
    <row r="47" spans="1:195">
      <c r="A47" s="100">
        <v>218</v>
      </c>
      <c r="B47" s="98">
        <v>58</v>
      </c>
      <c r="C47" s="98" t="s">
        <v>320</v>
      </c>
      <c r="D47" s="126" t="s">
        <v>235</v>
      </c>
      <c r="E47" s="98"/>
      <c r="F47" s="98"/>
      <c r="G47" s="98" t="s">
        <v>15</v>
      </c>
      <c r="H47" s="98" t="s">
        <v>8</v>
      </c>
      <c r="I47" s="98"/>
      <c r="J47" s="98"/>
      <c r="K47" s="98"/>
      <c r="L47" s="98">
        <v>53.9</v>
      </c>
      <c r="M47" s="98"/>
      <c r="N47" s="98"/>
      <c r="O47" s="98"/>
      <c r="P47" s="127"/>
      <c r="Q47" s="127"/>
      <c r="R47" s="98"/>
      <c r="S47" s="97"/>
      <c r="T47" s="129">
        <v>296000</v>
      </c>
      <c r="U47" s="129">
        <v>12.8</v>
      </c>
      <c r="V47" s="127">
        <v>3788800</v>
      </c>
      <c r="W47" s="130"/>
      <c r="X47" s="129">
        <v>14.3</v>
      </c>
      <c r="Y47" s="98"/>
      <c r="Z47" s="98"/>
      <c r="AA47" s="129">
        <v>7.62</v>
      </c>
      <c r="AB47" s="98">
        <v>0.21</v>
      </c>
      <c r="AC47" s="131"/>
      <c r="AD47" s="131"/>
      <c r="AE47" s="98">
        <v>5873.2674000000006</v>
      </c>
      <c r="AF47" s="129"/>
      <c r="AG47" s="98"/>
      <c r="AH47" s="98"/>
      <c r="AI47" s="98"/>
      <c r="AJ47" s="98" t="s">
        <v>248</v>
      </c>
      <c r="AK47" s="133">
        <f t="shared" si="0"/>
        <v>0.53286713286713283</v>
      </c>
      <c r="AL47" s="134">
        <f t="shared" si="1"/>
        <v>101.22402415424078</v>
      </c>
      <c r="AM47" s="135">
        <f t="shared" si="2"/>
        <v>0.8951048951048951</v>
      </c>
      <c r="AN47" s="135"/>
      <c r="AP47" s="167"/>
      <c r="AQ47" s="163"/>
      <c r="AR47" s="142"/>
      <c r="AS47" s="98"/>
      <c r="AT47" s="98"/>
      <c r="AV47" s="98"/>
      <c r="AX47" s="166"/>
      <c r="AY47" s="161"/>
      <c r="AZ47" s="161"/>
      <c r="BA47" s="161"/>
      <c r="BB47" s="161"/>
      <c r="BD47" s="98"/>
      <c r="BG47" s="98"/>
      <c r="BH47" s="98"/>
      <c r="BI47" s="98"/>
      <c r="BJ47" s="98"/>
      <c r="BK47" s="98"/>
      <c r="BL47" s="98"/>
      <c r="BM47" s="98"/>
      <c r="BN47" s="98"/>
      <c r="BO47" s="98"/>
      <c r="BP47" s="98"/>
      <c r="BQ47" s="98"/>
      <c r="BR47" s="98"/>
      <c r="BS47" s="98"/>
      <c r="BT47" s="98"/>
      <c r="BU47" s="98"/>
      <c r="BV47" s="98"/>
      <c r="BW47" s="98"/>
      <c r="BX47" s="98"/>
      <c r="BY47" s="98"/>
      <c r="BZ47" s="98"/>
      <c r="CA47" s="98"/>
      <c r="CB47" s="98"/>
      <c r="CC47" s="98"/>
      <c r="CD47" s="98"/>
      <c r="CE47" s="98"/>
      <c r="CF47" s="98"/>
      <c r="CG47" s="98"/>
      <c r="CH47" s="98"/>
      <c r="CI47" s="98"/>
      <c r="CJ47" s="98"/>
      <c r="CK47" s="98"/>
      <c r="CL47" s="98"/>
      <c r="CM47" s="98"/>
      <c r="CN47" s="98"/>
      <c r="CO47" s="98"/>
      <c r="CP47" s="98"/>
      <c r="CQ47" s="98"/>
      <c r="CR47" s="98"/>
      <c r="CS47" s="98"/>
      <c r="CT47" s="98"/>
      <c r="CU47" s="98"/>
      <c r="CV47" s="98"/>
      <c r="CW47" s="98"/>
      <c r="CX47" s="98"/>
      <c r="CY47" s="98"/>
      <c r="CZ47" s="98"/>
      <c r="DA47" s="98"/>
      <c r="DB47" s="98"/>
      <c r="DC47" s="98"/>
      <c r="DD47" s="98"/>
      <c r="DE47" s="98"/>
      <c r="DF47" s="98"/>
      <c r="DG47" s="98"/>
      <c r="DH47" s="98"/>
      <c r="DI47" s="98"/>
      <c r="DJ47" s="98"/>
      <c r="DK47" s="98"/>
      <c r="DL47" s="98"/>
      <c r="DM47" s="98"/>
      <c r="DN47" s="98"/>
      <c r="DO47" s="98"/>
      <c r="DP47" s="98"/>
      <c r="DQ47" s="98"/>
      <c r="DR47" s="98"/>
      <c r="DS47" s="98"/>
      <c r="DT47" s="98"/>
      <c r="DU47" s="98"/>
      <c r="DV47" s="98"/>
      <c r="DW47" s="98"/>
      <c r="DX47" s="98"/>
      <c r="DY47" s="98"/>
      <c r="DZ47" s="98"/>
      <c r="EA47" s="98"/>
      <c r="EB47" s="98"/>
      <c r="EC47" s="98"/>
      <c r="ED47" s="98"/>
      <c r="EE47" s="98"/>
      <c r="EF47" s="98"/>
      <c r="EG47" s="98"/>
      <c r="EH47" s="98"/>
      <c r="EI47" s="98"/>
      <c r="EJ47" s="98"/>
      <c r="EK47" s="98"/>
      <c r="EL47" s="98"/>
      <c r="EM47" s="98"/>
      <c r="EN47" s="98"/>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8"/>
      <c r="FO47" s="98"/>
      <c r="FP47" s="98"/>
      <c r="FQ47" s="98"/>
      <c r="FR47" s="98"/>
      <c r="FS47" s="98"/>
      <c r="FT47" s="98"/>
      <c r="FU47" s="98"/>
      <c r="FV47" s="98"/>
      <c r="FW47" s="98"/>
      <c r="FX47" s="98"/>
      <c r="FY47" s="98"/>
      <c r="FZ47" s="98"/>
      <c r="GA47" s="98"/>
      <c r="GB47" s="98"/>
      <c r="GC47" s="98"/>
      <c r="GD47" s="98"/>
      <c r="GE47" s="98"/>
      <c r="GF47" s="98"/>
      <c r="GG47" s="98"/>
      <c r="GH47" s="98"/>
      <c r="GI47" s="98"/>
      <c r="GJ47" s="98"/>
      <c r="GK47" s="98"/>
      <c r="GL47" s="98"/>
      <c r="GM47" s="98"/>
    </row>
    <row r="48" spans="1:195">
      <c r="A48" s="100">
        <v>226</v>
      </c>
      <c r="B48" s="98">
        <v>59</v>
      </c>
      <c r="C48" s="98" t="s">
        <v>321</v>
      </c>
      <c r="D48" s="126" t="s">
        <v>235</v>
      </c>
      <c r="E48" s="98"/>
      <c r="F48" s="98">
        <v>1977</v>
      </c>
      <c r="G48" s="98" t="s">
        <v>9</v>
      </c>
      <c r="H48" s="98" t="s">
        <v>8</v>
      </c>
      <c r="I48" s="98">
        <v>12.8</v>
      </c>
      <c r="J48" s="98">
        <v>6.1</v>
      </c>
      <c r="K48" s="98"/>
      <c r="L48" s="98">
        <v>40.5</v>
      </c>
      <c r="M48" s="98"/>
      <c r="N48" s="98"/>
      <c r="O48" s="98"/>
      <c r="P48" s="127">
        <v>385000</v>
      </c>
      <c r="Q48" s="128"/>
      <c r="R48" s="98">
        <v>1050</v>
      </c>
      <c r="S48" s="97" t="s">
        <v>322</v>
      </c>
      <c r="T48" s="129">
        <v>555000</v>
      </c>
      <c r="U48" s="129">
        <v>14.1</v>
      </c>
      <c r="V48" s="127">
        <v>7825500</v>
      </c>
      <c r="W48" s="130"/>
      <c r="X48" s="129">
        <v>13.7</v>
      </c>
      <c r="Y48" s="98"/>
      <c r="Z48" s="98"/>
      <c r="AA48" s="129">
        <v>35.1</v>
      </c>
      <c r="AB48" s="98">
        <v>2.4</v>
      </c>
      <c r="AC48" s="131"/>
      <c r="AD48" s="131"/>
      <c r="AE48" s="98">
        <v>19475.235000000001</v>
      </c>
      <c r="AF48" s="129"/>
      <c r="AG48" s="98"/>
      <c r="AH48" s="98"/>
      <c r="AI48" s="98"/>
      <c r="AJ48" s="98" t="s">
        <v>239</v>
      </c>
      <c r="AK48" s="133">
        <f t="shared" si="0"/>
        <v>2.562043795620438</v>
      </c>
      <c r="AL48" s="134">
        <f t="shared" si="1"/>
        <v>215.83967662160742</v>
      </c>
      <c r="AM48" s="135">
        <f t="shared" si="2"/>
        <v>1.0291970802919708</v>
      </c>
      <c r="AN48" s="135"/>
      <c r="AP48" s="167"/>
      <c r="AQ48" s="163"/>
      <c r="AR48" s="142"/>
      <c r="AS48" s="98"/>
      <c r="AT48" s="98"/>
      <c r="AV48" s="98"/>
      <c r="AX48" s="166"/>
      <c r="AY48" s="161"/>
      <c r="AZ48" s="161"/>
      <c r="BA48" s="161"/>
      <c r="BB48" s="161"/>
      <c r="BD48" s="98"/>
      <c r="BG48" s="98"/>
      <c r="BH48" s="98"/>
      <c r="BI48" s="98"/>
      <c r="BJ48" s="98"/>
      <c r="BK48" s="98"/>
      <c r="BL48" s="98"/>
      <c r="BM48" s="98"/>
      <c r="BN48" s="98"/>
      <c r="BO48" s="98"/>
      <c r="BP48" s="98"/>
      <c r="BQ48" s="98"/>
      <c r="BR48" s="98"/>
      <c r="BS48" s="98"/>
      <c r="BT48" s="98"/>
      <c r="BU48" s="98"/>
      <c r="BV48" s="98"/>
      <c r="BW48" s="98"/>
      <c r="BX48" s="98"/>
      <c r="BY48" s="98"/>
      <c r="BZ48" s="98"/>
      <c r="CA48" s="98"/>
      <c r="CB48" s="98"/>
      <c r="CC48" s="98"/>
      <c r="CD48" s="98"/>
      <c r="CE48" s="98"/>
      <c r="CF48" s="98"/>
      <c r="CG48" s="98"/>
      <c r="CH48" s="98"/>
      <c r="CI48" s="98"/>
      <c r="CJ48" s="98"/>
      <c r="CK48" s="98"/>
      <c r="CL48" s="98"/>
      <c r="CM48" s="98"/>
      <c r="CN48" s="98"/>
      <c r="CO48" s="98"/>
      <c r="CP48" s="98"/>
      <c r="CQ48" s="98"/>
      <c r="CR48" s="98"/>
      <c r="CS48" s="98"/>
      <c r="CT48" s="98"/>
      <c r="CU48" s="98"/>
      <c r="CV48" s="98"/>
      <c r="CW48" s="98"/>
      <c r="CX48" s="98"/>
      <c r="CY48" s="98"/>
      <c r="CZ48" s="98"/>
      <c r="DA48" s="98"/>
      <c r="DB48" s="98"/>
      <c r="DC48" s="98"/>
      <c r="DD48" s="98"/>
      <c r="DE48" s="98"/>
      <c r="DF48" s="98"/>
      <c r="DG48" s="98"/>
      <c r="DH48" s="98"/>
      <c r="DI48" s="98"/>
      <c r="DJ48" s="98"/>
      <c r="DK48" s="98"/>
      <c r="DL48" s="98"/>
      <c r="DM48" s="98"/>
      <c r="DN48" s="98"/>
      <c r="DO48" s="98"/>
      <c r="DP48" s="98"/>
      <c r="DQ48" s="98"/>
      <c r="DR48" s="98"/>
      <c r="DS48" s="98"/>
      <c r="DT48" s="98"/>
      <c r="DU48" s="98"/>
      <c r="DV48" s="98"/>
      <c r="DW48" s="98"/>
      <c r="DX48" s="98"/>
      <c r="DY48" s="98"/>
      <c r="DZ48" s="98"/>
      <c r="EA48" s="98"/>
      <c r="EB48" s="98"/>
      <c r="EC48" s="98"/>
      <c r="ED48" s="98"/>
      <c r="EE48" s="98"/>
      <c r="EF48" s="98"/>
      <c r="EG48" s="98"/>
      <c r="EH48" s="98"/>
      <c r="EI48" s="98"/>
      <c r="EJ48" s="98"/>
      <c r="EK48" s="98"/>
      <c r="EL48" s="98"/>
      <c r="EM48" s="98"/>
      <c r="EN48" s="98"/>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8"/>
      <c r="FO48" s="98"/>
      <c r="FP48" s="98"/>
      <c r="FQ48" s="98"/>
      <c r="FR48" s="98"/>
      <c r="FS48" s="98"/>
      <c r="FT48" s="98"/>
      <c r="FU48" s="98"/>
      <c r="FV48" s="98"/>
      <c r="FW48" s="98"/>
      <c r="FX48" s="98"/>
      <c r="FY48" s="98"/>
      <c r="FZ48" s="98"/>
      <c r="GA48" s="98"/>
      <c r="GB48" s="98"/>
      <c r="GC48" s="98"/>
      <c r="GD48" s="98"/>
      <c r="GE48" s="98"/>
      <c r="GF48" s="98"/>
      <c r="GG48" s="98"/>
      <c r="GH48" s="98"/>
      <c r="GI48" s="98"/>
      <c r="GJ48" s="98"/>
      <c r="GK48" s="98"/>
      <c r="GL48" s="98"/>
      <c r="GM48" s="98"/>
    </row>
    <row r="49" spans="1:195">
      <c r="A49" s="100">
        <v>231</v>
      </c>
      <c r="B49" s="98">
        <v>60</v>
      </c>
      <c r="C49" s="98" t="s">
        <v>323</v>
      </c>
      <c r="D49" s="126" t="s">
        <v>235</v>
      </c>
      <c r="E49" s="98">
        <v>1903</v>
      </c>
      <c r="F49" s="98">
        <v>1982</v>
      </c>
      <c r="G49" s="98" t="s">
        <v>15</v>
      </c>
      <c r="H49" s="98" t="s">
        <v>241</v>
      </c>
      <c r="I49" s="98">
        <v>7.9</v>
      </c>
      <c r="J49" s="98">
        <v>2.4</v>
      </c>
      <c r="K49" s="98"/>
      <c r="L49" s="98">
        <v>14.2</v>
      </c>
      <c r="M49" s="98"/>
      <c r="N49" s="98"/>
      <c r="O49" s="98"/>
      <c r="P49" s="98"/>
      <c r="Q49" s="98"/>
      <c r="R49" s="98">
        <v>510</v>
      </c>
      <c r="S49" s="97" t="s">
        <v>324</v>
      </c>
      <c r="T49" s="129">
        <v>798000</v>
      </c>
      <c r="U49" s="129">
        <v>6.71</v>
      </c>
      <c r="V49" s="127">
        <v>5354580</v>
      </c>
      <c r="W49" s="130"/>
      <c r="X49" s="129">
        <v>7.62</v>
      </c>
      <c r="Y49" s="98"/>
      <c r="Z49" s="98"/>
      <c r="AA49" s="129">
        <v>22.2</v>
      </c>
      <c r="AB49" s="98">
        <v>0.96</v>
      </c>
      <c r="AC49" s="131"/>
      <c r="AD49" s="131"/>
      <c r="AE49" s="98">
        <v>2402.1287999999995</v>
      </c>
      <c r="AF49" s="129"/>
      <c r="AG49" s="98"/>
      <c r="AH49" s="98"/>
      <c r="AI49" s="98"/>
      <c r="AJ49" s="98" t="s">
        <v>325</v>
      </c>
      <c r="AK49" s="133">
        <f t="shared" si="0"/>
        <v>2.9133858267716533</v>
      </c>
      <c r="AL49" s="134">
        <f t="shared" si="1"/>
        <v>1803.5906587998652</v>
      </c>
      <c r="AM49" s="135">
        <f t="shared" si="2"/>
        <v>0.88057742782152226</v>
      </c>
      <c r="AN49" s="135"/>
      <c r="AP49" s="167"/>
      <c r="AQ49" s="163"/>
      <c r="AR49" s="142"/>
      <c r="AS49" s="98"/>
      <c r="AT49" s="156"/>
      <c r="AU49" s="168"/>
      <c r="AV49" s="98"/>
      <c r="AX49" s="166"/>
      <c r="AY49" s="161"/>
      <c r="AZ49" s="161"/>
      <c r="BA49" s="161"/>
      <c r="BB49" s="161"/>
      <c r="BD49" s="156"/>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c r="CU49" s="98"/>
      <c r="CV49" s="98"/>
      <c r="CW49" s="98"/>
      <c r="CX49" s="98"/>
      <c r="CY49" s="98"/>
      <c r="CZ49" s="98"/>
      <c r="DA49" s="98"/>
      <c r="DB49" s="98"/>
      <c r="DC49" s="98"/>
      <c r="DD49" s="98"/>
      <c r="DE49" s="98"/>
      <c r="DF49" s="98"/>
      <c r="DG49" s="98"/>
      <c r="DH49" s="98"/>
      <c r="DI49" s="98"/>
      <c r="DJ49" s="98"/>
      <c r="DK49" s="98"/>
      <c r="DL49" s="98"/>
      <c r="DM49" s="98"/>
      <c r="DN49" s="98"/>
      <c r="DO49" s="98"/>
      <c r="DP49" s="98"/>
      <c r="DQ49" s="98"/>
      <c r="DR49" s="98"/>
      <c r="DS49" s="98"/>
      <c r="DT49" s="98"/>
      <c r="DU49" s="98"/>
      <c r="DV49" s="98"/>
      <c r="DW49" s="98"/>
      <c r="DX49" s="98"/>
      <c r="DY49" s="98"/>
      <c r="DZ49" s="98"/>
      <c r="EA49" s="98"/>
      <c r="EB49" s="98"/>
      <c r="EC49" s="98"/>
      <c r="ED49" s="98"/>
      <c r="EE49" s="98"/>
      <c r="EF49" s="98"/>
      <c r="EG49" s="98"/>
      <c r="EH49" s="98"/>
      <c r="EI49" s="98"/>
      <c r="EJ49" s="98"/>
      <c r="EK49" s="98"/>
      <c r="EL49" s="98"/>
      <c r="EM49" s="98"/>
      <c r="EN49" s="98"/>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8"/>
      <c r="FO49" s="98"/>
      <c r="FP49" s="98"/>
      <c r="FQ49" s="98"/>
      <c r="FR49" s="98"/>
      <c r="FS49" s="98"/>
      <c r="FT49" s="98"/>
      <c r="FU49" s="98"/>
      <c r="FV49" s="98"/>
      <c r="FW49" s="98"/>
      <c r="FX49" s="98"/>
      <c r="FY49" s="98"/>
      <c r="FZ49" s="98"/>
      <c r="GA49" s="98"/>
      <c r="GB49" s="98"/>
      <c r="GC49" s="98"/>
      <c r="GD49" s="98"/>
      <c r="GE49" s="98"/>
      <c r="GF49" s="98"/>
      <c r="GG49" s="98"/>
      <c r="GH49" s="98"/>
      <c r="GI49" s="98"/>
      <c r="GJ49" s="98"/>
      <c r="GK49" s="98"/>
      <c r="GL49" s="98"/>
      <c r="GM49" s="98"/>
    </row>
    <row r="50" spans="1:195">
      <c r="A50" s="100">
        <v>235</v>
      </c>
      <c r="B50" s="98">
        <v>61</v>
      </c>
      <c r="C50" s="98" t="s">
        <v>326</v>
      </c>
      <c r="D50" s="126" t="s">
        <v>235</v>
      </c>
      <c r="E50" s="98">
        <v>1913</v>
      </c>
      <c r="F50" s="98">
        <v>1951</v>
      </c>
      <c r="G50" s="98" t="s">
        <v>15</v>
      </c>
      <c r="H50" s="98" t="s">
        <v>241</v>
      </c>
      <c r="I50" s="98"/>
      <c r="J50" s="98"/>
      <c r="K50" s="98"/>
      <c r="L50" s="98"/>
      <c r="M50" s="98"/>
      <c r="N50" s="98"/>
      <c r="O50" s="98"/>
      <c r="P50" s="98"/>
      <c r="Q50" s="98"/>
      <c r="R50" s="98">
        <v>71</v>
      </c>
      <c r="S50" s="97" t="s">
        <v>327</v>
      </c>
      <c r="T50" s="129">
        <v>92500</v>
      </c>
      <c r="U50" s="129">
        <v>3.35</v>
      </c>
      <c r="V50" s="127">
        <v>309875</v>
      </c>
      <c r="W50" s="130"/>
      <c r="X50" s="129">
        <v>3.66</v>
      </c>
      <c r="Y50" s="98"/>
      <c r="Z50" s="98"/>
      <c r="AA50" s="129">
        <v>10.8</v>
      </c>
      <c r="AB50" s="98">
        <v>0.13</v>
      </c>
      <c r="AC50" s="131"/>
      <c r="AD50" s="131"/>
      <c r="AE50" s="98"/>
      <c r="AF50" s="129"/>
      <c r="AG50" s="98"/>
      <c r="AH50" s="98"/>
      <c r="AI50" s="98"/>
      <c r="AJ50" s="98" t="s">
        <v>302</v>
      </c>
      <c r="AK50" s="133">
        <f t="shared" si="0"/>
        <v>2.9508196721311477</v>
      </c>
      <c r="AL50" s="134">
        <f t="shared" si="1"/>
        <v>1886.681002994703</v>
      </c>
      <c r="AM50" s="135">
        <f t="shared" si="2"/>
        <v>0.91530054644808745</v>
      </c>
      <c r="AN50" s="135"/>
      <c r="AP50" s="167"/>
      <c r="AQ50" s="169"/>
      <c r="AR50" s="142"/>
      <c r="AS50" s="98"/>
      <c r="AT50" s="156"/>
      <c r="AU50" s="168"/>
      <c r="AV50" s="98"/>
      <c r="AX50" s="166"/>
      <c r="AY50" s="161"/>
      <c r="AZ50" s="161"/>
      <c r="BA50" s="161"/>
      <c r="BB50" s="161"/>
      <c r="BD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c r="CU50" s="98"/>
      <c r="CV50" s="98"/>
      <c r="CW50" s="98"/>
      <c r="CX50" s="98"/>
      <c r="CY50" s="98"/>
      <c r="CZ50" s="98"/>
      <c r="DA50" s="98"/>
      <c r="DB50" s="98"/>
      <c r="DC50" s="98"/>
      <c r="DD50" s="98"/>
      <c r="DE50" s="98"/>
      <c r="DF50" s="98"/>
      <c r="DG50" s="98"/>
      <c r="DH50" s="98"/>
      <c r="DI50" s="98"/>
      <c r="DJ50" s="98"/>
      <c r="DK50" s="98"/>
      <c r="DL50" s="98"/>
      <c r="DM50" s="98"/>
      <c r="DN50" s="98"/>
      <c r="DO50" s="98"/>
      <c r="DP50" s="98"/>
      <c r="DQ50" s="98"/>
      <c r="DR50" s="98"/>
      <c r="DS50" s="98"/>
      <c r="DT50" s="98"/>
      <c r="DU50" s="98"/>
      <c r="DV50" s="98"/>
      <c r="DW50" s="98"/>
      <c r="DX50" s="98"/>
      <c r="DY50" s="98"/>
      <c r="DZ50" s="98"/>
      <c r="EA50" s="98"/>
      <c r="EB50" s="98"/>
      <c r="EC50" s="98"/>
      <c r="ED50" s="98"/>
      <c r="EE50" s="98"/>
      <c r="EF50" s="98"/>
      <c r="EG50" s="98"/>
      <c r="EH50" s="98"/>
      <c r="EI50" s="98"/>
      <c r="EJ50" s="98"/>
      <c r="EK50" s="98"/>
      <c r="EL50" s="98"/>
      <c r="EM50" s="98"/>
      <c r="EN50" s="98"/>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8"/>
      <c r="FO50" s="98"/>
      <c r="FP50" s="98"/>
      <c r="FQ50" s="98"/>
      <c r="FR50" s="98"/>
      <c r="FS50" s="98"/>
      <c r="FT50" s="98"/>
      <c r="FU50" s="98"/>
      <c r="FV50" s="98"/>
      <c r="FW50" s="98"/>
      <c r="FX50" s="98"/>
      <c r="FY50" s="98"/>
      <c r="FZ50" s="98"/>
      <c r="GA50" s="98"/>
      <c r="GB50" s="98"/>
      <c r="GC50" s="98"/>
      <c r="GD50" s="98"/>
      <c r="GE50" s="98"/>
      <c r="GF50" s="98"/>
      <c r="GG50" s="98"/>
      <c r="GH50" s="98"/>
      <c r="GI50" s="98"/>
      <c r="GJ50" s="98"/>
      <c r="GK50" s="98"/>
      <c r="GL50" s="98"/>
      <c r="GM50" s="98"/>
    </row>
    <row r="51" spans="1:195">
      <c r="A51" s="100">
        <v>243</v>
      </c>
      <c r="B51" s="98">
        <v>62</v>
      </c>
      <c r="C51" s="98" t="s">
        <v>328</v>
      </c>
      <c r="D51" s="126" t="s">
        <v>235</v>
      </c>
      <c r="E51" s="98">
        <v>1962</v>
      </c>
      <c r="F51" s="98">
        <v>1963</v>
      </c>
      <c r="G51" s="98" t="s">
        <v>15</v>
      </c>
      <c r="H51" s="98" t="s">
        <v>241</v>
      </c>
      <c r="I51" s="98">
        <v>26.21</v>
      </c>
      <c r="J51" s="98">
        <v>6.1</v>
      </c>
      <c r="K51" s="98"/>
      <c r="L51" s="98">
        <v>63.1</v>
      </c>
      <c r="M51" s="98"/>
      <c r="N51" s="98"/>
      <c r="O51" s="98"/>
      <c r="P51" s="127">
        <v>1730000</v>
      </c>
      <c r="Q51" s="128"/>
      <c r="R51" s="98">
        <v>1330</v>
      </c>
      <c r="S51" s="97" t="s">
        <v>327</v>
      </c>
      <c r="T51" s="129">
        <v>1360000</v>
      </c>
      <c r="U51" s="129">
        <v>22.9</v>
      </c>
      <c r="V51" s="127">
        <v>31143999.999999996</v>
      </c>
      <c r="W51" s="130" t="s">
        <v>238</v>
      </c>
      <c r="X51" s="129">
        <v>27.1</v>
      </c>
      <c r="Y51" s="98">
        <v>23</v>
      </c>
      <c r="Z51" s="98"/>
      <c r="AA51" s="129">
        <v>29.6</v>
      </c>
      <c r="AB51" s="98">
        <v>0.75</v>
      </c>
      <c r="AC51" s="131"/>
      <c r="AD51" s="131"/>
      <c r="AE51" s="98">
        <v>50616.296000000009</v>
      </c>
      <c r="AF51" s="129">
        <v>0.33333333333333331</v>
      </c>
      <c r="AG51" s="98">
        <v>0.33</v>
      </c>
      <c r="AH51" s="98">
        <v>0.33</v>
      </c>
      <c r="AI51" s="98"/>
      <c r="AJ51" s="98" t="s">
        <v>239</v>
      </c>
      <c r="AK51" s="133">
        <f t="shared" si="0"/>
        <v>1.0922509225092252</v>
      </c>
      <c r="AL51" s="134">
        <f t="shared" si="1"/>
        <v>68.333086212086499</v>
      </c>
      <c r="AM51" s="135">
        <f t="shared" si="2"/>
        <v>0.84501845018450172</v>
      </c>
      <c r="AN51" s="135">
        <f>3600*AF51*SQRT(9.81/X51)</f>
        <v>721.98987021545315</v>
      </c>
      <c r="AO51" s="98"/>
      <c r="AP51" s="167"/>
      <c r="AQ51" s="169"/>
      <c r="AR51" s="142"/>
      <c r="AS51" s="98"/>
      <c r="AT51" s="98"/>
      <c r="AU51" s="168"/>
      <c r="AV51" s="98"/>
      <c r="AX51" s="166"/>
      <c r="AY51" s="161"/>
      <c r="AZ51" s="161"/>
      <c r="BA51" s="161"/>
      <c r="BB51" s="161"/>
      <c r="BD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c r="CU51" s="98"/>
      <c r="CV51" s="98"/>
      <c r="CW51" s="98"/>
      <c r="CX51" s="98"/>
      <c r="CY51" s="98"/>
      <c r="CZ51" s="98"/>
      <c r="DA51" s="98"/>
      <c r="DB51" s="98"/>
      <c r="DC51" s="98"/>
      <c r="DD51" s="98"/>
      <c r="DE51" s="98"/>
      <c r="DF51" s="98"/>
      <c r="DG51" s="98"/>
      <c r="DH51" s="98"/>
      <c r="DI51" s="98"/>
      <c r="DJ51" s="98"/>
      <c r="DK51" s="98"/>
      <c r="DL51" s="98"/>
      <c r="DM51" s="98"/>
      <c r="DN51" s="98"/>
      <c r="DO51" s="98"/>
      <c r="DP51" s="98"/>
      <c r="DQ51" s="98"/>
      <c r="DR51" s="98"/>
      <c r="DS51" s="98"/>
      <c r="DT51" s="98"/>
      <c r="DU51" s="98"/>
      <c r="DV51" s="98"/>
      <c r="DW51" s="98"/>
      <c r="DX51" s="98"/>
      <c r="DY51" s="98"/>
      <c r="DZ51" s="98"/>
      <c r="EA51" s="98"/>
      <c r="EB51" s="98"/>
      <c r="EC51" s="98"/>
      <c r="ED51" s="98"/>
      <c r="EE51" s="98"/>
      <c r="EF51" s="98"/>
      <c r="EG51" s="98"/>
      <c r="EH51" s="98"/>
      <c r="EI51" s="98"/>
      <c r="EJ51" s="98"/>
      <c r="EK51" s="98"/>
      <c r="EL51" s="98"/>
      <c r="EM51" s="98"/>
      <c r="EN51" s="98"/>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8"/>
      <c r="FO51" s="98"/>
      <c r="FP51" s="98"/>
      <c r="FQ51" s="98"/>
      <c r="FR51" s="98"/>
      <c r="FS51" s="98"/>
      <c r="FT51" s="98"/>
      <c r="FU51" s="98"/>
      <c r="FV51" s="98"/>
      <c r="FW51" s="98"/>
      <c r="FX51" s="98"/>
      <c r="FY51" s="98"/>
      <c r="FZ51" s="98"/>
      <c r="GA51" s="98"/>
      <c r="GB51" s="98"/>
      <c r="GC51" s="98"/>
      <c r="GD51" s="98"/>
      <c r="GE51" s="98"/>
      <c r="GF51" s="98"/>
      <c r="GG51" s="98"/>
      <c r="GH51" s="98"/>
      <c r="GI51" s="98"/>
      <c r="GJ51" s="98"/>
      <c r="GK51" s="98"/>
      <c r="GL51" s="98"/>
      <c r="GM51" s="98"/>
    </row>
    <row r="52" spans="1:195">
      <c r="A52" s="100">
        <v>245</v>
      </c>
      <c r="B52" s="98">
        <v>63</v>
      </c>
      <c r="C52" s="98" t="s">
        <v>329</v>
      </c>
      <c r="D52" s="126" t="s">
        <v>235</v>
      </c>
      <c r="E52" s="98"/>
      <c r="F52" s="98"/>
      <c r="G52" s="98" t="s">
        <v>15</v>
      </c>
      <c r="H52" s="98"/>
      <c r="I52" s="98"/>
      <c r="J52" s="98"/>
      <c r="K52" s="98"/>
      <c r="L52" s="98">
        <v>11.3</v>
      </c>
      <c r="M52" s="98"/>
      <c r="N52" s="98"/>
      <c r="O52" s="98"/>
      <c r="P52" s="127"/>
      <c r="Q52" s="128"/>
      <c r="R52" s="98"/>
      <c r="S52" s="97"/>
      <c r="T52" s="129">
        <v>284000</v>
      </c>
      <c r="U52" s="129">
        <v>3.17</v>
      </c>
      <c r="V52" s="127">
        <v>900280</v>
      </c>
      <c r="W52" s="130"/>
      <c r="X52" s="129">
        <v>3.66</v>
      </c>
      <c r="Y52" s="98"/>
      <c r="Z52" s="98"/>
      <c r="AA52" s="129">
        <v>9.14</v>
      </c>
      <c r="AB52" s="98">
        <v>0.4</v>
      </c>
      <c r="AC52" s="131"/>
      <c r="AD52" s="131"/>
      <c r="AE52" s="98">
        <v>378.0121200000001</v>
      </c>
      <c r="AF52" s="129"/>
      <c r="AG52" s="98"/>
      <c r="AH52" s="98"/>
      <c r="AI52" s="98"/>
      <c r="AJ52" s="98" t="s">
        <v>248</v>
      </c>
      <c r="AK52" s="133">
        <f t="shared" si="0"/>
        <v>2.4972677595628414</v>
      </c>
      <c r="AL52" s="134">
        <f t="shared" si="1"/>
        <v>5792.6205929783318</v>
      </c>
      <c r="AM52" s="135">
        <f t="shared" si="2"/>
        <v>0.86612021857923494</v>
      </c>
      <c r="AN52" s="135"/>
      <c r="AO52" s="98"/>
      <c r="BD52" s="170"/>
      <c r="BG52" s="98"/>
      <c r="BH52" s="98"/>
      <c r="BI52" s="98"/>
      <c r="BJ52" s="98"/>
      <c r="BK52" s="98"/>
      <c r="BL52" s="98"/>
      <c r="BM52" s="98"/>
      <c r="BN52" s="98"/>
      <c r="BO52" s="98"/>
      <c r="BP52" s="98"/>
      <c r="BQ52" s="98"/>
      <c r="BR52" s="98"/>
      <c r="BS52" s="98"/>
      <c r="BT52" s="98"/>
      <c r="BU52" s="98"/>
      <c r="BV52" s="98"/>
      <c r="BW52" s="98"/>
      <c r="BX52" s="98"/>
      <c r="BY52" s="98"/>
      <c r="BZ52" s="98"/>
      <c r="CA52" s="98"/>
      <c r="CB52" s="98"/>
      <c r="CC52" s="98"/>
      <c r="CD52" s="98"/>
      <c r="CE52" s="98"/>
      <c r="CF52" s="98"/>
      <c r="CG52" s="98"/>
      <c r="CH52" s="98"/>
      <c r="CI52" s="98"/>
      <c r="CJ52" s="98"/>
      <c r="CK52" s="98"/>
      <c r="CL52" s="98"/>
      <c r="CM52" s="98"/>
      <c r="CN52" s="98"/>
      <c r="CO52" s="98"/>
      <c r="CP52" s="98"/>
      <c r="CQ52" s="98"/>
      <c r="CR52" s="98"/>
      <c r="CS52" s="98"/>
      <c r="CT52" s="98"/>
      <c r="CU52" s="98"/>
      <c r="CV52" s="98"/>
      <c r="CW52" s="98"/>
      <c r="CX52" s="98"/>
      <c r="CY52" s="98"/>
      <c r="CZ52" s="98"/>
      <c r="DA52" s="98"/>
      <c r="DB52" s="98"/>
      <c r="DC52" s="98"/>
      <c r="DD52" s="98"/>
      <c r="DE52" s="98"/>
      <c r="DF52" s="98"/>
      <c r="DG52" s="98"/>
      <c r="DH52" s="98"/>
      <c r="DI52" s="98"/>
      <c r="DJ52" s="98"/>
      <c r="DK52" s="98"/>
      <c r="DL52" s="98"/>
      <c r="DM52" s="98"/>
      <c r="DN52" s="98"/>
      <c r="DO52" s="98"/>
      <c r="DP52" s="98"/>
      <c r="DQ52" s="98"/>
      <c r="DR52" s="98"/>
      <c r="DS52" s="98"/>
      <c r="DT52" s="98"/>
      <c r="DU52" s="98"/>
      <c r="DV52" s="98"/>
      <c r="DW52" s="98"/>
      <c r="DX52" s="98"/>
      <c r="DY52" s="98"/>
      <c r="DZ52" s="98"/>
      <c r="EA52" s="98"/>
      <c r="EB52" s="98"/>
      <c r="EC52" s="98"/>
      <c r="ED52" s="98"/>
      <c r="EE52" s="98"/>
      <c r="EF52" s="98"/>
      <c r="EG52" s="98"/>
      <c r="EH52" s="98"/>
      <c r="EI52" s="98"/>
      <c r="EJ52" s="98"/>
      <c r="EK52" s="98"/>
      <c r="EL52" s="98"/>
      <c r="EM52" s="98"/>
      <c r="EN52" s="98"/>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8"/>
      <c r="FO52" s="98"/>
      <c r="FP52" s="98"/>
      <c r="FQ52" s="98"/>
      <c r="FR52" s="98"/>
      <c r="FS52" s="98"/>
      <c r="FT52" s="98"/>
      <c r="FU52" s="98"/>
      <c r="FV52" s="98"/>
      <c r="FW52" s="98"/>
      <c r="FX52" s="98"/>
      <c r="FY52" s="98"/>
      <c r="FZ52" s="98"/>
      <c r="GA52" s="98"/>
      <c r="GB52" s="98"/>
      <c r="GC52" s="98"/>
      <c r="GD52" s="98"/>
      <c r="GE52" s="98"/>
      <c r="GF52" s="98"/>
      <c r="GG52" s="98"/>
      <c r="GH52" s="98"/>
      <c r="GI52" s="98"/>
      <c r="GJ52" s="98"/>
      <c r="GK52" s="98"/>
      <c r="GL52" s="98"/>
      <c r="GM52" s="98"/>
    </row>
    <row r="53" spans="1:195">
      <c r="A53" s="100">
        <v>250</v>
      </c>
      <c r="B53" s="98">
        <v>64</v>
      </c>
      <c r="C53" s="98" t="s">
        <v>330</v>
      </c>
      <c r="D53" s="126" t="s">
        <v>235</v>
      </c>
      <c r="E53" s="98"/>
      <c r="F53" s="98">
        <v>1973</v>
      </c>
      <c r="G53" s="98" t="s">
        <v>15</v>
      </c>
      <c r="H53" s="98" t="s">
        <v>241</v>
      </c>
      <c r="I53" s="98"/>
      <c r="J53" s="98">
        <v>4.5999999999999996</v>
      </c>
      <c r="K53" s="98"/>
      <c r="L53" s="98">
        <v>25.7</v>
      </c>
      <c r="M53" s="98"/>
      <c r="N53" s="98"/>
      <c r="O53" s="98"/>
      <c r="P53" s="128">
        <v>7080185.7475227658</v>
      </c>
      <c r="Q53" s="98"/>
      <c r="R53" s="98">
        <v>340</v>
      </c>
      <c r="S53" s="97" t="s">
        <v>327</v>
      </c>
      <c r="T53" s="129">
        <v>7080000</v>
      </c>
      <c r="U53" s="129">
        <v>5.79</v>
      </c>
      <c r="V53" s="127">
        <v>40993200</v>
      </c>
      <c r="W53" s="130"/>
      <c r="X53" s="129">
        <v>7.01</v>
      </c>
      <c r="Y53" s="98"/>
      <c r="Z53" s="98"/>
      <c r="AA53" s="129">
        <v>79.2</v>
      </c>
      <c r="AB53" s="98">
        <v>6.3</v>
      </c>
      <c r="AC53" s="131"/>
      <c r="AD53" s="131"/>
      <c r="AE53" s="98">
        <v>14268.4344</v>
      </c>
      <c r="AF53" s="129">
        <v>1.5</v>
      </c>
      <c r="AG53" s="98"/>
      <c r="AH53" s="98"/>
      <c r="AI53" s="98"/>
      <c r="AJ53" s="98" t="s">
        <v>331</v>
      </c>
      <c r="AK53" s="133">
        <f t="shared" si="0"/>
        <v>11.298145506419402</v>
      </c>
      <c r="AL53" s="134">
        <f t="shared" si="1"/>
        <v>20553.18842787794</v>
      </c>
      <c r="AM53" s="135">
        <f t="shared" si="2"/>
        <v>0.82596291012838807</v>
      </c>
      <c r="AN53" s="135">
        <f>3600*AF53*SQRT(9.81/X53)</f>
        <v>6388.063940896448</v>
      </c>
      <c r="AO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c r="CU53" s="98"/>
      <c r="CV53" s="98"/>
      <c r="CW53" s="98"/>
      <c r="CX53" s="98"/>
      <c r="CY53" s="98"/>
      <c r="CZ53" s="98"/>
      <c r="DA53" s="98"/>
      <c r="DB53" s="98"/>
      <c r="DC53" s="98"/>
      <c r="DD53" s="98"/>
      <c r="DE53" s="98"/>
      <c r="DF53" s="98"/>
      <c r="DG53" s="98"/>
      <c r="DH53" s="98"/>
      <c r="DI53" s="98"/>
      <c r="DJ53" s="98"/>
      <c r="DK53" s="98"/>
      <c r="DL53" s="98"/>
      <c r="DM53" s="98"/>
      <c r="DN53" s="98"/>
      <c r="DO53" s="98"/>
      <c r="DP53" s="98"/>
      <c r="DQ53" s="98"/>
      <c r="DR53" s="98"/>
      <c r="DS53" s="98"/>
      <c r="DT53" s="98"/>
      <c r="DU53" s="98"/>
      <c r="DV53" s="98"/>
      <c r="DW53" s="98"/>
      <c r="DX53" s="98"/>
      <c r="DY53" s="98"/>
      <c r="DZ53" s="98"/>
      <c r="EA53" s="98"/>
      <c r="EB53" s="98"/>
      <c r="EC53" s="98"/>
      <c r="ED53" s="98"/>
      <c r="EE53" s="98"/>
      <c r="EF53" s="98"/>
      <c r="EG53" s="98"/>
      <c r="EH53" s="98"/>
      <c r="EI53" s="98"/>
      <c r="EJ53" s="98"/>
      <c r="EK53" s="98"/>
      <c r="EL53" s="98"/>
      <c r="EM53" s="98"/>
      <c r="EN53" s="98"/>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8"/>
      <c r="FO53" s="98"/>
      <c r="FP53" s="98"/>
      <c r="FQ53" s="98"/>
      <c r="FR53" s="98"/>
      <c r="FS53" s="98"/>
      <c r="FT53" s="98"/>
      <c r="FU53" s="98"/>
      <c r="FV53" s="98"/>
      <c r="FW53" s="98"/>
      <c r="FX53" s="98"/>
      <c r="FY53" s="98"/>
      <c r="FZ53" s="98"/>
      <c r="GA53" s="98"/>
      <c r="GB53" s="98"/>
      <c r="GC53" s="98"/>
      <c r="GD53" s="98"/>
      <c r="GE53" s="98"/>
      <c r="GF53" s="98"/>
      <c r="GG53" s="98"/>
      <c r="GH53" s="98"/>
      <c r="GI53" s="98"/>
      <c r="GJ53" s="98"/>
      <c r="GK53" s="98"/>
      <c r="GL53" s="98"/>
      <c r="GM53" s="98"/>
    </row>
    <row r="54" spans="1:195">
      <c r="A54" s="100">
        <v>255</v>
      </c>
      <c r="B54" s="98">
        <v>65</v>
      </c>
      <c r="C54" s="98" t="s">
        <v>332</v>
      </c>
      <c r="D54" s="126" t="s">
        <v>235</v>
      </c>
      <c r="E54" s="98">
        <v>1897</v>
      </c>
      <c r="F54" s="98">
        <v>1916</v>
      </c>
      <c r="G54" s="98" t="s">
        <v>9</v>
      </c>
      <c r="H54" s="98" t="s">
        <v>333</v>
      </c>
      <c r="I54" s="98">
        <v>41.15</v>
      </c>
      <c r="J54" s="98">
        <v>3.7</v>
      </c>
      <c r="K54" s="98"/>
      <c r="L54" s="98">
        <v>53.3</v>
      </c>
      <c r="M54" s="98">
        <v>1</v>
      </c>
      <c r="N54" s="98">
        <v>1</v>
      </c>
      <c r="O54" s="98">
        <v>172.2</v>
      </c>
      <c r="P54" s="127">
        <v>49300000</v>
      </c>
      <c r="Q54" s="128"/>
      <c r="R54" s="98"/>
      <c r="S54" s="97"/>
      <c r="T54" s="129">
        <v>49300000</v>
      </c>
      <c r="U54" s="129">
        <v>39.6</v>
      </c>
      <c r="V54" s="127">
        <v>1952280000</v>
      </c>
      <c r="W54" s="130" t="s">
        <v>238</v>
      </c>
      <c r="X54" s="129">
        <v>39.6</v>
      </c>
      <c r="Y54" s="98">
        <v>172.2</v>
      </c>
      <c r="Z54" s="98">
        <v>93.800000000000011</v>
      </c>
      <c r="AA54" s="129">
        <v>133</v>
      </c>
      <c r="AB54" s="98">
        <v>1</v>
      </c>
      <c r="AC54" s="131"/>
      <c r="AD54" s="131"/>
      <c r="AE54" s="98">
        <v>107038</v>
      </c>
      <c r="AF54" s="129">
        <v>1</v>
      </c>
      <c r="AG54" s="98">
        <v>0.25</v>
      </c>
      <c r="AH54" s="98">
        <v>0.33</v>
      </c>
      <c r="AI54" s="98">
        <v>2.5</v>
      </c>
      <c r="AJ54" s="98" t="s">
        <v>296</v>
      </c>
      <c r="AK54" s="133">
        <f t="shared" si="0"/>
        <v>3.3585858585858586</v>
      </c>
      <c r="AL54" s="134">
        <f t="shared" si="1"/>
        <v>793.8918828113807</v>
      </c>
      <c r="AM54" s="135">
        <f t="shared" si="2"/>
        <v>1</v>
      </c>
      <c r="AN54" s="135">
        <f>3600*AF54*SQRT(9.81/X54)</f>
        <v>1791.7995017706235</v>
      </c>
      <c r="AO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c r="CU54" s="98"/>
      <c r="CV54" s="98"/>
      <c r="CW54" s="98"/>
      <c r="CX54" s="98"/>
      <c r="CY54" s="98"/>
      <c r="CZ54" s="98"/>
      <c r="DA54" s="98"/>
      <c r="DB54" s="98"/>
      <c r="DC54" s="98"/>
      <c r="DD54" s="98"/>
      <c r="DE54" s="98"/>
      <c r="DF54" s="98"/>
      <c r="DG54" s="98"/>
      <c r="DH54" s="98"/>
      <c r="DI54" s="98"/>
      <c r="DJ54" s="98"/>
      <c r="DK54" s="98"/>
      <c r="DL54" s="98"/>
      <c r="DM54" s="98"/>
      <c r="DN54" s="98"/>
      <c r="DO54" s="98"/>
      <c r="DP54" s="98"/>
      <c r="DQ54" s="98"/>
      <c r="DR54" s="98"/>
      <c r="DS54" s="98"/>
      <c r="DT54" s="98"/>
      <c r="DU54" s="98"/>
      <c r="DV54" s="98"/>
      <c r="DW54" s="98"/>
      <c r="DX54" s="98"/>
      <c r="DY54" s="98"/>
      <c r="DZ54" s="98"/>
      <c r="EA54" s="98"/>
      <c r="EB54" s="98"/>
      <c r="EC54" s="98"/>
      <c r="ED54" s="98"/>
      <c r="EE54" s="98"/>
      <c r="EF54" s="98"/>
      <c r="EG54" s="98"/>
      <c r="EH54" s="98"/>
      <c r="EI54" s="98"/>
      <c r="EJ54" s="98"/>
      <c r="EK54" s="98"/>
      <c r="EL54" s="98"/>
      <c r="EM54" s="98"/>
      <c r="EN54" s="98"/>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8"/>
      <c r="FO54" s="98"/>
      <c r="FP54" s="98"/>
      <c r="FQ54" s="98"/>
      <c r="FR54" s="98"/>
      <c r="FS54" s="98"/>
      <c r="FT54" s="98"/>
      <c r="FU54" s="98"/>
      <c r="FV54" s="98"/>
      <c r="FW54" s="98"/>
      <c r="FX54" s="98"/>
      <c r="FY54" s="98"/>
      <c r="FZ54" s="98"/>
      <c r="GA54" s="98"/>
      <c r="GB54" s="98"/>
      <c r="GC54" s="98"/>
      <c r="GD54" s="98"/>
      <c r="GE54" s="98"/>
      <c r="GF54" s="98"/>
      <c r="GG54" s="98"/>
      <c r="GH54" s="98"/>
      <c r="GI54" s="98"/>
      <c r="GJ54" s="98"/>
      <c r="GK54" s="98"/>
      <c r="GL54" s="98"/>
      <c r="GM54" s="98"/>
    </row>
    <row r="55" spans="1:195">
      <c r="A55" s="100">
        <v>263</v>
      </c>
      <c r="B55" s="98">
        <v>66</v>
      </c>
      <c r="C55" s="98" t="s">
        <v>334</v>
      </c>
      <c r="D55" s="126" t="s">
        <v>235</v>
      </c>
      <c r="E55" s="98">
        <v>1913</v>
      </c>
      <c r="F55" s="98">
        <v>1964</v>
      </c>
      <c r="G55" s="98" t="s">
        <v>15</v>
      </c>
      <c r="H55" s="98" t="s">
        <v>241</v>
      </c>
      <c r="I55" s="98">
        <v>11.28</v>
      </c>
      <c r="J55" s="98">
        <v>3.7</v>
      </c>
      <c r="K55" s="98"/>
      <c r="L55" s="98"/>
      <c r="M55" s="98"/>
      <c r="N55" s="98"/>
      <c r="O55" s="98"/>
      <c r="P55" s="127">
        <v>19600000</v>
      </c>
      <c r="Q55" s="128"/>
      <c r="R55" s="98">
        <v>1800</v>
      </c>
      <c r="S55" s="97" t="s">
        <v>335</v>
      </c>
      <c r="T55" s="129">
        <v>29600000</v>
      </c>
      <c r="U55" s="129">
        <v>11.3</v>
      </c>
      <c r="V55" s="127">
        <v>334480000</v>
      </c>
      <c r="W55" s="130" t="s">
        <v>238</v>
      </c>
      <c r="X55" s="129">
        <v>11.3</v>
      </c>
      <c r="Y55" s="98"/>
      <c r="Z55" s="98"/>
      <c r="AA55" s="129">
        <v>67</v>
      </c>
      <c r="AB55" s="98">
        <v>1.5</v>
      </c>
      <c r="AC55" s="131"/>
      <c r="AD55" s="131"/>
      <c r="AE55" s="98"/>
      <c r="AF55" s="129"/>
      <c r="AG55" s="98"/>
      <c r="AH55" s="98"/>
      <c r="AI55" s="98"/>
      <c r="AJ55" s="98" t="s">
        <v>239</v>
      </c>
      <c r="AK55" s="133">
        <f t="shared" si="0"/>
        <v>5.9292035398230087</v>
      </c>
      <c r="AL55" s="134">
        <f t="shared" si="1"/>
        <v>20514.284803419785</v>
      </c>
      <c r="AM55" s="135">
        <f t="shared" si="2"/>
        <v>1</v>
      </c>
      <c r="AN55" s="135"/>
      <c r="AO55" s="98"/>
      <c r="AP55" s="136"/>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c r="CD55" s="98"/>
      <c r="CE55" s="98"/>
      <c r="CF55" s="98"/>
      <c r="CG55" s="98"/>
      <c r="CH55" s="98"/>
      <c r="CI55" s="98"/>
      <c r="CJ55" s="98"/>
      <c r="CK55" s="98"/>
      <c r="CL55" s="98"/>
      <c r="CM55" s="98"/>
      <c r="CN55" s="98"/>
      <c r="CO55" s="98"/>
      <c r="CP55" s="98"/>
      <c r="CQ55" s="98"/>
      <c r="CR55" s="98"/>
      <c r="CS55" s="98"/>
      <c r="CT55" s="98"/>
      <c r="CU55" s="98"/>
      <c r="CV55" s="98"/>
      <c r="CW55" s="98"/>
      <c r="CX55" s="98"/>
      <c r="CY55" s="98"/>
      <c r="CZ55" s="98"/>
      <c r="DA55" s="98"/>
      <c r="DB55" s="98"/>
      <c r="DC55" s="98"/>
      <c r="DD55" s="98"/>
      <c r="DE55" s="98"/>
      <c r="DF55" s="98"/>
      <c r="DG55" s="98"/>
      <c r="DH55" s="98"/>
      <c r="DI55" s="98"/>
      <c r="DJ55" s="98"/>
      <c r="DK55" s="98"/>
      <c r="DL55" s="98"/>
      <c r="DM55" s="98"/>
      <c r="DN55" s="98"/>
      <c r="DO55" s="98"/>
      <c r="DP55" s="98"/>
      <c r="DQ55" s="98"/>
      <c r="DR55" s="98"/>
      <c r="DS55" s="98"/>
      <c r="DT55" s="98"/>
      <c r="DU55" s="98"/>
      <c r="DV55" s="98"/>
      <c r="DW55" s="98"/>
      <c r="DX55" s="98"/>
      <c r="DY55" s="98"/>
      <c r="DZ55" s="98"/>
      <c r="EA55" s="98"/>
      <c r="EB55" s="98"/>
      <c r="EC55" s="98"/>
      <c r="ED55" s="98"/>
      <c r="EE55" s="98"/>
      <c r="EF55" s="98"/>
      <c r="EG55" s="98"/>
      <c r="EH55" s="98"/>
      <c r="EI55" s="98"/>
      <c r="EJ55" s="98"/>
      <c r="EK55" s="98"/>
      <c r="EL55" s="98"/>
      <c r="EM55" s="98"/>
      <c r="EN55" s="98"/>
      <c r="EO55" s="98"/>
      <c r="EP55" s="98"/>
      <c r="EQ55" s="98"/>
      <c r="ER55" s="98"/>
      <c r="ES55" s="98"/>
      <c r="ET55" s="98"/>
      <c r="EU55" s="98"/>
      <c r="EV55" s="98"/>
      <c r="EW55" s="98"/>
      <c r="EX55" s="98"/>
      <c r="EY55" s="98"/>
      <c r="EZ55" s="98"/>
      <c r="FA55" s="98"/>
      <c r="FB55" s="98"/>
      <c r="FC55" s="98"/>
      <c r="FD55" s="98"/>
      <c r="FE55" s="98"/>
      <c r="FF55" s="98"/>
      <c r="FG55" s="98"/>
      <c r="FH55" s="98"/>
      <c r="FI55" s="98"/>
      <c r="FJ55" s="98"/>
      <c r="FK55" s="98"/>
      <c r="FL55" s="98"/>
      <c r="FM55" s="98"/>
      <c r="FN55" s="98"/>
      <c r="FO55" s="98"/>
      <c r="FP55" s="98"/>
      <c r="FQ55" s="98"/>
      <c r="FR55" s="98"/>
      <c r="FS55" s="98"/>
      <c r="FT55" s="98"/>
      <c r="FU55" s="98"/>
      <c r="FV55" s="98"/>
      <c r="FW55" s="98"/>
      <c r="FX55" s="98"/>
      <c r="FY55" s="98"/>
      <c r="FZ55" s="98"/>
      <c r="GA55" s="98"/>
      <c r="GB55" s="98"/>
      <c r="GC55" s="98"/>
      <c r="GD55" s="98"/>
      <c r="GE55" s="98"/>
      <c r="GF55" s="98"/>
      <c r="GG55" s="98"/>
      <c r="GH55" s="98"/>
      <c r="GI55" s="98"/>
      <c r="GJ55" s="98"/>
      <c r="GK55" s="98"/>
      <c r="GL55" s="98"/>
      <c r="GM55" s="98"/>
    </row>
    <row r="56" spans="1:195">
      <c r="A56" s="100">
        <v>267</v>
      </c>
      <c r="B56" s="98">
        <v>67</v>
      </c>
      <c r="C56" s="98" t="s">
        <v>336</v>
      </c>
      <c r="D56" s="126" t="s">
        <v>235</v>
      </c>
      <c r="E56" s="98">
        <v>1913</v>
      </c>
      <c r="F56" s="98">
        <v>1915</v>
      </c>
      <c r="G56" s="98" t="s">
        <v>15</v>
      </c>
      <c r="H56" s="98" t="s">
        <v>290</v>
      </c>
      <c r="I56" s="98">
        <v>19.809999999999999</v>
      </c>
      <c r="J56" s="98">
        <v>3.7</v>
      </c>
      <c r="K56" s="98"/>
      <c r="L56" s="98"/>
      <c r="M56" s="98">
        <v>2</v>
      </c>
      <c r="N56" s="98">
        <v>2</v>
      </c>
      <c r="O56" s="98"/>
      <c r="P56" s="127">
        <v>49500000</v>
      </c>
      <c r="Q56" s="128"/>
      <c r="R56" s="98"/>
      <c r="S56" s="97"/>
      <c r="T56" s="129">
        <v>35800000</v>
      </c>
      <c r="U56" s="129">
        <v>16.2</v>
      </c>
      <c r="V56" s="127">
        <v>579960000</v>
      </c>
      <c r="W56" s="130" t="s">
        <v>238</v>
      </c>
      <c r="X56" s="129">
        <v>19.8</v>
      </c>
      <c r="Y56" s="98">
        <v>107</v>
      </c>
      <c r="Z56" s="98">
        <v>87</v>
      </c>
      <c r="AA56" s="129">
        <v>97</v>
      </c>
      <c r="AB56" s="98">
        <v>1</v>
      </c>
      <c r="AC56" s="131">
        <v>0.5</v>
      </c>
      <c r="AD56" s="131">
        <v>0.5</v>
      </c>
      <c r="AE56" s="98">
        <v>71868</v>
      </c>
      <c r="AF56" s="129"/>
      <c r="AG56" s="98"/>
      <c r="AH56" s="98"/>
      <c r="AI56" s="98"/>
      <c r="AJ56" s="98" t="s">
        <v>337</v>
      </c>
      <c r="AK56" s="133">
        <f t="shared" si="0"/>
        <v>4.8989898989898988</v>
      </c>
      <c r="AL56" s="134">
        <f t="shared" si="1"/>
        <v>4611.9804307744307</v>
      </c>
      <c r="AM56" s="135">
        <f t="shared" si="2"/>
        <v>0.81818181818181812</v>
      </c>
      <c r="AN56" s="135"/>
      <c r="AO56" s="98"/>
      <c r="AP56" s="136"/>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c r="CU56" s="98"/>
      <c r="CV56" s="98"/>
      <c r="CW56" s="98"/>
      <c r="CX56" s="98"/>
      <c r="CY56" s="98"/>
      <c r="CZ56" s="98"/>
      <c r="DA56" s="98"/>
      <c r="DB56" s="98"/>
      <c r="DC56" s="98"/>
      <c r="DD56" s="98"/>
      <c r="DE56" s="98"/>
      <c r="DF56" s="98"/>
      <c r="DG56" s="98"/>
      <c r="DH56" s="98"/>
      <c r="DI56" s="98"/>
      <c r="DJ56" s="98"/>
      <c r="DK56" s="98"/>
      <c r="DL56" s="98"/>
      <c r="DM56" s="98"/>
      <c r="DN56" s="98"/>
      <c r="DO56" s="98"/>
      <c r="DP56" s="98"/>
      <c r="DQ56" s="98"/>
      <c r="DR56" s="98"/>
      <c r="DS56" s="98"/>
      <c r="DT56" s="98"/>
      <c r="DU56" s="98"/>
      <c r="DV56" s="98"/>
      <c r="DW56" s="98"/>
      <c r="DX56" s="98"/>
      <c r="DY56" s="98"/>
      <c r="DZ56" s="98"/>
      <c r="EA56" s="98"/>
      <c r="EB56" s="98"/>
      <c r="EC56" s="98"/>
      <c r="ED56" s="98"/>
      <c r="EE56" s="98"/>
      <c r="EF56" s="98"/>
      <c r="EG56" s="98"/>
      <c r="EH56" s="98"/>
      <c r="EI56" s="98"/>
      <c r="EJ56" s="98"/>
      <c r="EK56" s="98"/>
      <c r="EL56" s="98"/>
      <c r="EM56" s="98"/>
      <c r="EN56" s="98"/>
      <c r="EO56" s="98"/>
      <c r="EP56" s="98"/>
      <c r="EQ56" s="98"/>
      <c r="ER56" s="98"/>
      <c r="ES56" s="98"/>
      <c r="ET56" s="98"/>
      <c r="EU56" s="98"/>
      <c r="EV56" s="98"/>
      <c r="EW56" s="98"/>
      <c r="EX56" s="98"/>
      <c r="EY56" s="98"/>
      <c r="EZ56" s="98"/>
      <c r="FA56" s="98"/>
      <c r="FB56" s="98"/>
      <c r="FC56" s="98"/>
      <c r="FD56" s="98"/>
      <c r="FE56" s="98"/>
      <c r="FF56" s="98"/>
      <c r="FG56" s="98"/>
      <c r="FH56" s="98"/>
      <c r="FI56" s="98"/>
      <c r="FJ56" s="98"/>
      <c r="FK56" s="98"/>
      <c r="FL56" s="98"/>
      <c r="FM56" s="98"/>
      <c r="FN56" s="98"/>
      <c r="FO56" s="98"/>
      <c r="FP56" s="98"/>
      <c r="FQ56" s="98"/>
      <c r="FR56" s="98"/>
      <c r="FS56" s="98"/>
      <c r="FT56" s="98"/>
      <c r="FU56" s="98"/>
      <c r="FV56" s="98"/>
      <c r="FW56" s="98"/>
      <c r="FX56" s="98"/>
      <c r="FY56" s="98"/>
      <c r="FZ56" s="98"/>
      <c r="GA56" s="98"/>
      <c r="GB56" s="98"/>
      <c r="GC56" s="98"/>
      <c r="GD56" s="98"/>
      <c r="GE56" s="98"/>
      <c r="GF56" s="98"/>
      <c r="GG56" s="98"/>
      <c r="GH56" s="98"/>
      <c r="GI56" s="98"/>
      <c r="GJ56" s="98"/>
      <c r="GK56" s="98"/>
      <c r="GL56" s="98"/>
      <c r="GM56" s="98"/>
    </row>
    <row r="57" spans="1:195">
      <c r="A57" s="100">
        <v>271</v>
      </c>
      <c r="B57" s="98">
        <v>68</v>
      </c>
      <c r="C57" s="98" t="s">
        <v>338</v>
      </c>
      <c r="D57" s="126" t="s">
        <v>235</v>
      </c>
      <c r="E57" s="98">
        <v>1871</v>
      </c>
      <c r="F57" s="98">
        <v>1876</v>
      </c>
      <c r="G57" s="98" t="s">
        <v>15</v>
      </c>
      <c r="H57" s="98" t="s">
        <v>266</v>
      </c>
      <c r="I57" s="98">
        <v>12.5</v>
      </c>
      <c r="J57" s="98">
        <v>15.2</v>
      </c>
      <c r="K57" s="98"/>
      <c r="L57" s="98">
        <v>41.8</v>
      </c>
      <c r="M57" s="98">
        <v>2</v>
      </c>
      <c r="N57" s="98">
        <v>2.2999999999999998</v>
      </c>
      <c r="O57" s="98"/>
      <c r="P57" s="127">
        <v>2520000</v>
      </c>
      <c r="Q57" s="128">
        <v>534185.04775679996</v>
      </c>
      <c r="R57" s="98"/>
      <c r="S57" s="97"/>
      <c r="T57" s="129">
        <v>2880000</v>
      </c>
      <c r="U57" s="129">
        <v>11.6</v>
      </c>
      <c r="V57" s="127">
        <v>33408000</v>
      </c>
      <c r="W57" s="130" t="s">
        <v>238</v>
      </c>
      <c r="X57" s="129">
        <v>12.5</v>
      </c>
      <c r="Y57" s="98">
        <v>45.7</v>
      </c>
      <c r="Z57" s="98">
        <v>15.299999999999997</v>
      </c>
      <c r="AA57" s="129">
        <v>30.5</v>
      </c>
      <c r="AB57" s="98">
        <v>1.22</v>
      </c>
      <c r="AC57" s="131">
        <v>1.3</v>
      </c>
      <c r="AD57" s="131">
        <v>1.3</v>
      </c>
      <c r="AE57" s="98">
        <v>15291</v>
      </c>
      <c r="AF57" s="129"/>
      <c r="AG57" s="98"/>
      <c r="AH57" s="98">
        <v>3</v>
      </c>
      <c r="AI57" s="98"/>
      <c r="AJ57" s="98" t="s">
        <v>339</v>
      </c>
      <c r="AK57" s="133">
        <f t="shared" si="0"/>
        <v>2.44</v>
      </c>
      <c r="AL57" s="134">
        <f t="shared" si="1"/>
        <v>1474.56</v>
      </c>
      <c r="AM57" s="135">
        <f t="shared" si="2"/>
        <v>0.92799999999999994</v>
      </c>
      <c r="AN57" s="135"/>
      <c r="AO57" s="98"/>
      <c r="AP57" s="136"/>
      <c r="AQ57" s="98"/>
      <c r="AR57" s="98"/>
      <c r="AS57" s="98"/>
      <c r="AT57" s="98"/>
      <c r="AU57" s="98"/>
      <c r="AV57" s="98"/>
      <c r="BB57" s="98"/>
      <c r="BC57" s="98"/>
      <c r="BD57" s="98"/>
      <c r="BE57" s="98"/>
      <c r="BF57" s="98"/>
      <c r="BG57" s="98"/>
      <c r="BH57" s="98"/>
      <c r="BI57" s="98"/>
      <c r="BJ57" s="98"/>
      <c r="BK57" s="98"/>
      <c r="BL57" s="98"/>
      <c r="BM57" s="98"/>
      <c r="BN57" s="98"/>
      <c r="BO57" s="98"/>
      <c r="BP57" s="98"/>
      <c r="BQ57" s="98"/>
      <c r="BR57" s="98"/>
      <c r="BS57" s="98"/>
      <c r="BT57" s="98"/>
      <c r="BU57" s="98"/>
      <c r="BV57" s="98"/>
      <c r="BW57" s="98"/>
      <c r="BX57" s="98"/>
      <c r="BY57" s="98"/>
      <c r="BZ57" s="98"/>
      <c r="CA57" s="98"/>
      <c r="CB57" s="98"/>
      <c r="CC57" s="98"/>
      <c r="CD57" s="98"/>
      <c r="CE57" s="98"/>
      <c r="CF57" s="98"/>
      <c r="CG57" s="98"/>
      <c r="CH57" s="98"/>
      <c r="CI57" s="98"/>
      <c r="CJ57" s="98"/>
      <c r="CK57" s="98"/>
      <c r="CL57" s="98"/>
      <c r="CM57" s="98"/>
      <c r="CN57" s="98"/>
      <c r="CO57" s="98"/>
      <c r="CP57" s="98"/>
      <c r="CQ57" s="98"/>
      <c r="CR57" s="98"/>
      <c r="CS57" s="98"/>
      <c r="CT57" s="98"/>
      <c r="CU57" s="98"/>
      <c r="CV57" s="98"/>
      <c r="CW57" s="98"/>
      <c r="CX57" s="98"/>
      <c r="CY57" s="98"/>
      <c r="CZ57" s="98"/>
      <c r="DA57" s="98"/>
      <c r="DB57" s="98"/>
      <c r="DC57" s="98"/>
      <c r="DD57" s="98"/>
      <c r="DE57" s="98"/>
      <c r="DF57" s="98"/>
      <c r="DG57" s="98"/>
      <c r="DH57" s="98"/>
      <c r="DI57" s="98"/>
      <c r="DJ57" s="98"/>
      <c r="DK57" s="98"/>
      <c r="DL57" s="98"/>
      <c r="DM57" s="98"/>
      <c r="DN57" s="98"/>
      <c r="DO57" s="98"/>
      <c r="DP57" s="98"/>
      <c r="DQ57" s="98"/>
      <c r="DR57" s="98"/>
      <c r="DS57" s="98"/>
      <c r="DT57" s="98"/>
      <c r="DU57" s="98"/>
      <c r="DV57" s="98"/>
      <c r="DW57" s="98"/>
      <c r="DX57" s="98"/>
      <c r="DY57" s="98"/>
      <c r="DZ57" s="98"/>
      <c r="EA57" s="98"/>
      <c r="EB57" s="98"/>
      <c r="EC57" s="98"/>
      <c r="ED57" s="98"/>
      <c r="EE57" s="98"/>
      <c r="EF57" s="98"/>
      <c r="EG57" s="98"/>
      <c r="EH57" s="98"/>
      <c r="EI57" s="98"/>
      <c r="EJ57" s="98"/>
      <c r="EK57" s="98"/>
      <c r="EL57" s="98"/>
      <c r="EM57" s="98"/>
      <c r="EN57" s="98"/>
      <c r="EO57" s="98"/>
      <c r="EP57" s="98"/>
      <c r="EQ57" s="98"/>
      <c r="ER57" s="98"/>
      <c r="ES57" s="98"/>
      <c r="ET57" s="98"/>
      <c r="EU57" s="98"/>
      <c r="EV57" s="98"/>
      <c r="EW57" s="98"/>
      <c r="EX57" s="98"/>
      <c r="EY57" s="98"/>
      <c r="EZ57" s="98"/>
      <c r="FA57" s="98"/>
      <c r="FB57" s="98"/>
      <c r="FC57" s="98"/>
      <c r="FD57" s="98"/>
      <c r="FE57" s="98"/>
      <c r="FF57" s="98"/>
      <c r="FG57" s="98"/>
      <c r="FH57" s="98"/>
      <c r="FI57" s="98"/>
      <c r="FJ57" s="98"/>
      <c r="FK57" s="98"/>
      <c r="FL57" s="98"/>
      <c r="FM57" s="98"/>
      <c r="FN57" s="98"/>
      <c r="FO57" s="98"/>
      <c r="FP57" s="98"/>
      <c r="FQ57" s="98"/>
      <c r="FR57" s="98"/>
      <c r="FS57" s="98"/>
      <c r="FT57" s="98"/>
      <c r="FU57" s="98"/>
      <c r="FV57" s="98"/>
      <c r="FW57" s="98"/>
      <c r="FX57" s="98"/>
      <c r="FY57" s="98"/>
      <c r="FZ57" s="98"/>
      <c r="GA57" s="98"/>
      <c r="GB57" s="98"/>
      <c r="GC57" s="98"/>
      <c r="GD57" s="98"/>
      <c r="GE57" s="98"/>
      <c r="GF57" s="98"/>
      <c r="GG57" s="98"/>
      <c r="GH57" s="98"/>
      <c r="GI57" s="98"/>
      <c r="GJ57" s="98"/>
      <c r="GK57" s="98"/>
      <c r="GL57" s="98"/>
      <c r="GM57" s="98"/>
    </row>
    <row r="58" spans="1:195">
      <c r="A58" s="100">
        <v>285</v>
      </c>
      <c r="B58" s="98">
        <v>72</v>
      </c>
      <c r="C58" s="98" t="s">
        <v>340</v>
      </c>
      <c r="D58" s="126" t="s">
        <v>235</v>
      </c>
      <c r="E58" s="98">
        <v>1907</v>
      </c>
      <c r="F58" s="98">
        <v>1909</v>
      </c>
      <c r="G58" s="98" t="s">
        <v>15</v>
      </c>
      <c r="H58" s="98" t="s">
        <v>290</v>
      </c>
      <c r="I58" s="98">
        <v>10.97</v>
      </c>
      <c r="J58" s="98">
        <v>3</v>
      </c>
      <c r="K58" s="98"/>
      <c r="L58" s="98">
        <v>25.1</v>
      </c>
      <c r="M58" s="98">
        <v>3</v>
      </c>
      <c r="N58" s="98">
        <v>1.5</v>
      </c>
      <c r="O58" s="98"/>
      <c r="P58" s="98"/>
      <c r="Q58" s="128"/>
      <c r="R58" s="98"/>
      <c r="S58" s="97"/>
      <c r="T58" s="129">
        <v>24700000</v>
      </c>
      <c r="U58" s="129">
        <v>7.92</v>
      </c>
      <c r="V58" s="127">
        <v>195624000</v>
      </c>
      <c r="W58" s="130" t="s">
        <v>238</v>
      </c>
      <c r="X58" s="129">
        <v>9.75</v>
      </c>
      <c r="Y58" s="98">
        <v>40</v>
      </c>
      <c r="Z58" s="98">
        <v>25.599999999999994</v>
      </c>
      <c r="AA58" s="129">
        <v>32.799999999999997</v>
      </c>
      <c r="AB58" s="98">
        <v>0.7</v>
      </c>
      <c r="AC58" s="131">
        <v>3.6</v>
      </c>
      <c r="AD58" s="131">
        <v>3.6</v>
      </c>
      <c r="AE58" s="98">
        <v>10620</v>
      </c>
      <c r="AF58" s="129"/>
      <c r="AG58" s="98"/>
      <c r="AH58" s="98"/>
      <c r="AI58" s="98"/>
      <c r="AJ58" s="98" t="s">
        <v>255</v>
      </c>
      <c r="AK58" s="133">
        <f t="shared" si="0"/>
        <v>3.3641025641025637</v>
      </c>
      <c r="AL58" s="134">
        <f t="shared" si="1"/>
        <v>26649.134341442033</v>
      </c>
      <c r="AM58" s="135">
        <f t="shared" si="2"/>
        <v>0.81230769230769229</v>
      </c>
      <c r="AN58" s="135"/>
      <c r="AO58" s="98"/>
      <c r="AP58" s="136"/>
      <c r="AQ58" s="98"/>
      <c r="AR58" s="98"/>
      <c r="AS58" s="98"/>
      <c r="AT58" s="98"/>
      <c r="AU58" s="98"/>
      <c r="AV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98"/>
      <c r="CF58" s="98"/>
      <c r="CG58" s="98"/>
      <c r="CH58" s="98"/>
      <c r="CI58" s="98"/>
      <c r="CJ58" s="98"/>
      <c r="CK58" s="98"/>
      <c r="CL58" s="98"/>
      <c r="CM58" s="98"/>
      <c r="CN58" s="98"/>
      <c r="CO58" s="98"/>
      <c r="CP58" s="98"/>
      <c r="CQ58" s="98"/>
      <c r="CR58" s="98"/>
      <c r="CS58" s="98"/>
      <c r="CT58" s="98"/>
      <c r="CU58" s="98"/>
      <c r="CV58" s="98"/>
      <c r="CW58" s="98"/>
      <c r="CX58" s="98"/>
      <c r="CY58" s="98"/>
      <c r="CZ58" s="98"/>
      <c r="DA58" s="98"/>
      <c r="DB58" s="98"/>
      <c r="DC58" s="98"/>
      <c r="DD58" s="98"/>
      <c r="DE58" s="98"/>
      <c r="DF58" s="98"/>
      <c r="DG58" s="98"/>
      <c r="DH58" s="98"/>
      <c r="DI58" s="98"/>
      <c r="DJ58" s="98"/>
      <c r="DK58" s="98"/>
      <c r="DL58" s="98"/>
      <c r="DM58" s="98"/>
      <c r="DN58" s="98"/>
      <c r="DO58" s="98"/>
      <c r="DP58" s="98"/>
      <c r="DQ58" s="98"/>
      <c r="DR58" s="98"/>
      <c r="DS58" s="98"/>
      <c r="DT58" s="98"/>
      <c r="DU58" s="98"/>
      <c r="DV58" s="98"/>
      <c r="DW58" s="98"/>
      <c r="DX58" s="98"/>
      <c r="DY58" s="98"/>
      <c r="DZ58" s="98"/>
      <c r="EA58" s="98"/>
      <c r="EB58" s="98"/>
      <c r="EC58" s="98"/>
      <c r="ED58" s="98"/>
      <c r="EE58" s="98"/>
      <c r="EF58" s="98"/>
      <c r="EG58" s="98"/>
      <c r="EH58" s="98"/>
      <c r="EI58" s="98"/>
      <c r="EJ58" s="98"/>
      <c r="EK58" s="98"/>
      <c r="EL58" s="98"/>
      <c r="EM58" s="98"/>
      <c r="EN58" s="98"/>
      <c r="EO58" s="98"/>
      <c r="EP58" s="98"/>
      <c r="EQ58" s="98"/>
      <c r="ER58" s="98"/>
      <c r="ES58" s="98"/>
      <c r="ET58" s="98"/>
      <c r="EU58" s="98"/>
      <c r="EV58" s="98"/>
      <c r="EW58" s="98"/>
      <c r="EX58" s="98"/>
      <c r="EY58" s="98"/>
      <c r="EZ58" s="98"/>
      <c r="FA58" s="98"/>
      <c r="FB58" s="98"/>
      <c r="FC58" s="98"/>
      <c r="FD58" s="98"/>
      <c r="FE58" s="98"/>
      <c r="FF58" s="98"/>
      <c r="FG58" s="98"/>
      <c r="FH58" s="98"/>
      <c r="FI58" s="98"/>
      <c r="FJ58" s="98"/>
      <c r="FK58" s="98"/>
      <c r="FL58" s="98"/>
      <c r="FM58" s="98"/>
      <c r="FN58" s="98"/>
      <c r="FO58" s="98"/>
      <c r="FP58" s="98"/>
      <c r="FQ58" s="98"/>
      <c r="FR58" s="98"/>
      <c r="FS58" s="98"/>
      <c r="FT58" s="98"/>
      <c r="FU58" s="98"/>
      <c r="FV58" s="98"/>
      <c r="FW58" s="98"/>
      <c r="FX58" s="98"/>
      <c r="FY58" s="98"/>
      <c r="FZ58" s="98"/>
      <c r="GA58" s="98"/>
      <c r="GB58" s="98"/>
      <c r="GC58" s="98"/>
      <c r="GD58" s="98"/>
      <c r="GE58" s="98"/>
      <c r="GF58" s="98"/>
      <c r="GG58" s="98"/>
      <c r="GH58" s="98"/>
      <c r="GI58" s="98"/>
      <c r="GJ58" s="98"/>
      <c r="GK58" s="98"/>
      <c r="GL58" s="98"/>
      <c r="GM58" s="98"/>
    </row>
    <row r="59" spans="1:195">
      <c r="A59" s="100">
        <v>287</v>
      </c>
      <c r="B59" s="98">
        <v>73</v>
      </c>
      <c r="C59" s="98" t="s">
        <v>341</v>
      </c>
      <c r="D59" s="126" t="s">
        <v>235</v>
      </c>
      <c r="E59" s="98">
        <v>1939</v>
      </c>
      <c r="F59" s="98">
        <v>1994</v>
      </c>
      <c r="G59" s="98" t="s">
        <v>9</v>
      </c>
      <c r="H59" s="98" t="s">
        <v>241</v>
      </c>
      <c r="I59" s="98"/>
      <c r="J59" s="98"/>
      <c r="K59" s="98"/>
      <c r="L59" s="98">
        <v>17.5</v>
      </c>
      <c r="M59" s="98"/>
      <c r="N59" s="98"/>
      <c r="O59" s="98"/>
      <c r="P59" s="98"/>
      <c r="Q59" s="128"/>
      <c r="R59" s="98"/>
      <c r="S59" s="97"/>
      <c r="T59" s="129">
        <v>69600</v>
      </c>
      <c r="U59" s="129">
        <v>3.44</v>
      </c>
      <c r="V59" s="127">
        <v>239424</v>
      </c>
      <c r="W59" s="130"/>
      <c r="X59" s="129">
        <v>3.05</v>
      </c>
      <c r="Y59" s="98"/>
      <c r="Z59" s="98"/>
      <c r="AA59" s="129">
        <v>14.2</v>
      </c>
      <c r="AB59" s="98">
        <v>0.41</v>
      </c>
      <c r="AC59" s="131"/>
      <c r="AD59" s="131"/>
      <c r="AE59" s="98">
        <v>757.92499999999995</v>
      </c>
      <c r="AF59" s="129"/>
      <c r="AG59" s="98"/>
      <c r="AH59" s="98"/>
      <c r="AI59" s="98"/>
      <c r="AJ59" s="98" t="s">
        <v>23</v>
      </c>
      <c r="AK59" s="133">
        <f t="shared" si="0"/>
        <v>4.6557377049180326</v>
      </c>
      <c r="AL59" s="134">
        <f t="shared" si="1"/>
        <v>2453.0687590591288</v>
      </c>
      <c r="AM59" s="135">
        <f t="shared" si="2"/>
        <v>1.1278688524590164</v>
      </c>
      <c r="AN59" s="135"/>
      <c r="AO59" s="98"/>
      <c r="AP59" s="136"/>
      <c r="AQ59" s="98"/>
      <c r="AR59" s="98"/>
      <c r="AS59" s="98"/>
      <c r="AT59" s="98"/>
      <c r="AU59" s="98"/>
      <c r="AV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c r="CU59" s="98"/>
      <c r="CV59" s="98"/>
      <c r="CW59" s="98"/>
      <c r="CX59" s="98"/>
      <c r="CY59" s="98"/>
      <c r="CZ59" s="98"/>
      <c r="DA59" s="98"/>
      <c r="DB59" s="98"/>
      <c r="DC59" s="98"/>
      <c r="DD59" s="98"/>
      <c r="DE59" s="98"/>
      <c r="DF59" s="98"/>
      <c r="DG59" s="98"/>
      <c r="DH59" s="98"/>
      <c r="DI59" s="98"/>
      <c r="DJ59" s="98"/>
      <c r="DK59" s="98"/>
      <c r="DL59" s="98"/>
      <c r="DM59" s="98"/>
      <c r="DN59" s="98"/>
      <c r="DO59" s="98"/>
      <c r="DP59" s="98"/>
      <c r="DQ59" s="98"/>
      <c r="DR59" s="98"/>
      <c r="DS59" s="98"/>
      <c r="DT59" s="98"/>
      <c r="DU59" s="98"/>
      <c r="DV59" s="98"/>
      <c r="DW59" s="98"/>
      <c r="DX59" s="98"/>
      <c r="DY59" s="98"/>
      <c r="DZ59" s="98"/>
      <c r="EA59" s="98"/>
      <c r="EB59" s="98"/>
      <c r="EC59" s="98"/>
      <c r="ED59" s="98"/>
      <c r="EE59" s="98"/>
      <c r="EF59" s="98"/>
      <c r="EG59" s="98"/>
      <c r="EH59" s="98"/>
      <c r="EI59" s="98"/>
      <c r="EJ59" s="98"/>
      <c r="EK59" s="98"/>
      <c r="EL59" s="98"/>
      <c r="EM59" s="98"/>
      <c r="EN59" s="98"/>
      <c r="EO59" s="98"/>
      <c r="EP59" s="98"/>
      <c r="EQ59" s="98"/>
      <c r="ER59" s="98"/>
      <c r="ES59" s="98"/>
      <c r="ET59" s="98"/>
      <c r="EU59" s="98"/>
      <c r="EV59" s="98"/>
      <c r="EW59" s="98"/>
      <c r="EX59" s="98"/>
      <c r="EY59" s="98"/>
      <c r="EZ59" s="98"/>
      <c r="FA59" s="98"/>
      <c r="FB59" s="98"/>
      <c r="FC59" s="98"/>
      <c r="FD59" s="98"/>
      <c r="FE59" s="98"/>
      <c r="FF59" s="98"/>
      <c r="FG59" s="98"/>
      <c r="FH59" s="98"/>
      <c r="FI59" s="98"/>
      <c r="FJ59" s="98"/>
      <c r="FK59" s="98"/>
      <c r="FL59" s="98"/>
      <c r="FM59" s="98"/>
      <c r="FN59" s="98"/>
      <c r="FO59" s="98"/>
      <c r="FP59" s="98"/>
      <c r="FQ59" s="98"/>
      <c r="FR59" s="98"/>
      <c r="FS59" s="98"/>
      <c r="FT59" s="98"/>
      <c r="FU59" s="98"/>
      <c r="FV59" s="98"/>
      <c r="FW59" s="98"/>
      <c r="FX59" s="98"/>
      <c r="FY59" s="98"/>
      <c r="FZ59" s="98"/>
      <c r="GA59" s="98"/>
      <c r="GB59" s="98"/>
      <c r="GC59" s="98"/>
      <c r="GD59" s="98"/>
      <c r="GE59" s="98"/>
      <c r="GF59" s="98"/>
      <c r="GG59" s="98"/>
      <c r="GH59" s="98"/>
      <c r="GI59" s="98"/>
      <c r="GJ59" s="98"/>
      <c r="GK59" s="98"/>
      <c r="GL59" s="98"/>
      <c r="GM59" s="98"/>
    </row>
    <row r="60" spans="1:195">
      <c r="A60" s="100">
        <v>291</v>
      </c>
      <c r="B60" s="98">
        <v>75</v>
      </c>
      <c r="C60" s="98" t="s">
        <v>342</v>
      </c>
      <c r="D60" s="126" t="s">
        <v>235</v>
      </c>
      <c r="E60" s="98">
        <v>1963</v>
      </c>
      <c r="F60" s="98">
        <v>1994</v>
      </c>
      <c r="G60" s="98" t="s">
        <v>9</v>
      </c>
      <c r="H60" s="98" t="s">
        <v>241</v>
      </c>
      <c r="I60" s="98"/>
      <c r="J60" s="98"/>
      <c r="K60" s="98"/>
      <c r="L60" s="98">
        <v>14.3</v>
      </c>
      <c r="M60" s="98"/>
      <c r="N60" s="98"/>
      <c r="O60" s="98"/>
      <c r="P60" s="137"/>
      <c r="Q60" s="128"/>
      <c r="R60" s="98"/>
      <c r="S60" s="97"/>
      <c r="T60" s="129">
        <v>4130000</v>
      </c>
      <c r="U60" s="129">
        <v>4.41</v>
      </c>
      <c r="V60" s="127">
        <v>18213300</v>
      </c>
      <c r="W60" s="130"/>
      <c r="X60" s="129">
        <v>3.44</v>
      </c>
      <c r="Y60" s="98"/>
      <c r="Z60" s="98"/>
      <c r="AA60" s="129">
        <v>41.5</v>
      </c>
      <c r="AB60" s="98">
        <v>1.24</v>
      </c>
      <c r="AC60" s="131"/>
      <c r="AD60" s="131"/>
      <c r="AE60" s="98">
        <v>2041.4680000000001</v>
      </c>
      <c r="AF60" s="129"/>
      <c r="AG60" s="98"/>
      <c r="AH60" s="98"/>
      <c r="AI60" s="98"/>
      <c r="AJ60" s="98" t="s">
        <v>23</v>
      </c>
      <c r="AK60" s="133">
        <f t="shared" si="0"/>
        <v>12.063953488372093</v>
      </c>
      <c r="AL60" s="134">
        <f t="shared" si="1"/>
        <v>101455.2963889972</v>
      </c>
      <c r="AM60" s="135">
        <f t="shared" si="2"/>
        <v>1.2819767441860466</v>
      </c>
      <c r="AN60" s="135"/>
      <c r="AO60" s="98"/>
      <c r="AP60" s="136"/>
      <c r="AQ60" s="98"/>
      <c r="AR60" s="98"/>
      <c r="AS60" s="98"/>
      <c r="AT60" s="98"/>
      <c r="AU60" s="98"/>
      <c r="AV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c r="CU60" s="98"/>
      <c r="CV60" s="98"/>
      <c r="CW60" s="98"/>
      <c r="CX60" s="98"/>
      <c r="CY60" s="98"/>
      <c r="CZ60" s="98"/>
      <c r="DA60" s="98"/>
      <c r="DB60" s="98"/>
      <c r="DC60" s="98"/>
      <c r="DD60" s="98"/>
      <c r="DE60" s="98"/>
      <c r="DF60" s="98"/>
      <c r="DG60" s="98"/>
      <c r="DH60" s="98"/>
      <c r="DI60" s="98"/>
      <c r="DJ60" s="98"/>
      <c r="DK60" s="98"/>
      <c r="DL60" s="98"/>
      <c r="DM60" s="98"/>
      <c r="DN60" s="98"/>
      <c r="DO60" s="98"/>
      <c r="DP60" s="98"/>
      <c r="DQ60" s="98"/>
      <c r="DR60" s="98"/>
      <c r="DS60" s="98"/>
      <c r="DT60" s="98"/>
      <c r="DU60" s="98"/>
      <c r="DV60" s="98"/>
      <c r="DW60" s="98"/>
      <c r="DX60" s="98"/>
      <c r="DY60" s="98"/>
      <c r="DZ60" s="98"/>
      <c r="EA60" s="98"/>
      <c r="EB60" s="98"/>
      <c r="EC60" s="98"/>
      <c r="ED60" s="98"/>
      <c r="EE60" s="98"/>
      <c r="EF60" s="98"/>
      <c r="EG60" s="98"/>
      <c r="EH60" s="98"/>
      <c r="EI60" s="98"/>
      <c r="EJ60" s="98"/>
      <c r="EK60" s="98"/>
      <c r="EL60" s="98"/>
      <c r="EM60" s="98"/>
      <c r="EN60" s="98"/>
      <c r="EO60" s="98"/>
      <c r="EP60" s="98"/>
      <c r="EQ60" s="98"/>
      <c r="ER60" s="98"/>
      <c r="ES60" s="98"/>
      <c r="ET60" s="98"/>
      <c r="EU60" s="98"/>
      <c r="EV60" s="98"/>
      <c r="EW60" s="98"/>
      <c r="EX60" s="98"/>
      <c r="EY60" s="98"/>
      <c r="EZ60" s="98"/>
      <c r="FA60" s="98"/>
      <c r="FB60" s="98"/>
      <c r="FC60" s="98"/>
      <c r="FD60" s="98"/>
      <c r="FE60" s="98"/>
      <c r="FF60" s="98"/>
      <c r="FG60" s="98"/>
      <c r="FH60" s="98"/>
      <c r="FI60" s="98"/>
      <c r="FJ60" s="98"/>
      <c r="FK60" s="98"/>
      <c r="FL60" s="98"/>
      <c r="FM60" s="98"/>
      <c r="FN60" s="98"/>
      <c r="FO60" s="98"/>
      <c r="FP60" s="98"/>
      <c r="FQ60" s="98"/>
      <c r="FR60" s="98"/>
      <c r="FS60" s="98"/>
      <c r="FT60" s="98"/>
      <c r="FU60" s="98"/>
      <c r="FV60" s="98"/>
      <c r="FW60" s="98"/>
      <c r="FX60" s="98"/>
      <c r="FY60" s="98"/>
      <c r="FZ60" s="98"/>
      <c r="GA60" s="98"/>
      <c r="GB60" s="98"/>
      <c r="GC60" s="98"/>
      <c r="GD60" s="98"/>
      <c r="GE60" s="98"/>
      <c r="GF60" s="98"/>
      <c r="GG60" s="98"/>
      <c r="GH60" s="98"/>
      <c r="GI60" s="98"/>
      <c r="GJ60" s="98"/>
      <c r="GK60" s="98"/>
      <c r="GL60" s="98"/>
      <c r="GM60" s="98"/>
    </row>
    <row r="61" spans="1:195">
      <c r="A61" s="100">
        <v>310</v>
      </c>
      <c r="B61" s="98">
        <v>80</v>
      </c>
      <c r="C61" s="98" t="s">
        <v>343</v>
      </c>
      <c r="D61" s="126" t="s">
        <v>235</v>
      </c>
      <c r="E61" s="98">
        <v>1960</v>
      </c>
      <c r="F61" s="98">
        <v>1960</v>
      </c>
      <c r="G61" s="98" t="s">
        <v>9</v>
      </c>
      <c r="H61" s="98" t="s">
        <v>344</v>
      </c>
      <c r="I61" s="98">
        <v>35.36</v>
      </c>
      <c r="J61" s="98">
        <v>5</v>
      </c>
      <c r="K61" s="98"/>
      <c r="L61" s="98">
        <v>110</v>
      </c>
      <c r="M61" s="98"/>
      <c r="N61" s="98"/>
      <c r="O61" s="98"/>
      <c r="P61" s="137">
        <v>650000000</v>
      </c>
      <c r="Q61" s="128"/>
      <c r="R61" s="98">
        <v>9630</v>
      </c>
      <c r="S61" s="97" t="s">
        <v>275</v>
      </c>
      <c r="T61" s="129">
        <v>660000000</v>
      </c>
      <c r="U61" s="129">
        <v>35.799999999999997</v>
      </c>
      <c r="V61" s="127">
        <v>23628000000</v>
      </c>
      <c r="W61" s="130" t="s">
        <v>238</v>
      </c>
      <c r="X61" s="129">
        <v>35.5</v>
      </c>
      <c r="Y61" s="98">
        <v>200</v>
      </c>
      <c r="Z61" s="98">
        <v>130</v>
      </c>
      <c r="AA61" s="129">
        <v>165</v>
      </c>
      <c r="AB61" s="98">
        <v>1</v>
      </c>
      <c r="AC61" s="131"/>
      <c r="AD61" s="131"/>
      <c r="AE61" s="98">
        <v>764555</v>
      </c>
      <c r="AF61" s="129">
        <v>8.5</v>
      </c>
      <c r="AG61" s="98"/>
      <c r="AH61" s="98"/>
      <c r="AI61" s="98"/>
      <c r="AJ61" s="98" t="s">
        <v>345</v>
      </c>
      <c r="AK61" s="133">
        <f t="shared" si="0"/>
        <v>4.647887323943662</v>
      </c>
      <c r="AL61" s="134">
        <f t="shared" si="1"/>
        <v>14752.2708159291</v>
      </c>
      <c r="AM61" s="135">
        <f t="shared" si="2"/>
        <v>1.0084507042253521</v>
      </c>
      <c r="AN61" s="135">
        <f>3600*AF61*SQRT(9.81/X61)</f>
        <v>16085.766256424902</v>
      </c>
      <c r="AO61" s="98"/>
      <c r="AP61" s="136"/>
      <c r="AQ61" s="98"/>
      <c r="AR61" s="98"/>
      <c r="AS61" s="98"/>
      <c r="AT61" s="98"/>
      <c r="AU61" s="98"/>
      <c r="AV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c r="CU61" s="98"/>
      <c r="CV61" s="98"/>
      <c r="CW61" s="98"/>
      <c r="CX61" s="98"/>
      <c r="CY61" s="98"/>
      <c r="CZ61" s="98"/>
      <c r="DA61" s="98"/>
      <c r="DB61" s="98"/>
      <c r="DC61" s="98"/>
      <c r="DD61" s="98"/>
      <c r="DE61" s="98"/>
      <c r="DF61" s="98"/>
      <c r="DG61" s="98"/>
      <c r="DH61" s="98"/>
      <c r="DI61" s="98"/>
      <c r="DJ61" s="98"/>
      <c r="DK61" s="98"/>
      <c r="DL61" s="98"/>
      <c r="DM61" s="98"/>
      <c r="DN61" s="98"/>
      <c r="DO61" s="98"/>
      <c r="DP61" s="98"/>
      <c r="DQ61" s="98"/>
      <c r="DR61" s="98"/>
      <c r="DS61" s="98"/>
      <c r="DT61" s="98"/>
      <c r="DU61" s="98"/>
      <c r="DV61" s="98"/>
      <c r="DW61" s="98"/>
      <c r="DX61" s="98"/>
      <c r="DY61" s="98"/>
      <c r="DZ61" s="98"/>
      <c r="EA61" s="98"/>
      <c r="EB61" s="98"/>
      <c r="EC61" s="98"/>
      <c r="ED61" s="98"/>
      <c r="EE61" s="98"/>
      <c r="EF61" s="98"/>
      <c r="EG61" s="98"/>
      <c r="EH61" s="98"/>
      <c r="EI61" s="98"/>
      <c r="EJ61" s="98"/>
      <c r="EK61" s="98"/>
      <c r="EL61" s="98"/>
      <c r="EM61" s="98"/>
      <c r="EN61" s="98"/>
      <c r="EO61" s="98"/>
      <c r="EP61" s="98"/>
      <c r="EQ61" s="98"/>
      <c r="ER61" s="98"/>
      <c r="ES61" s="98"/>
      <c r="ET61" s="98"/>
      <c r="EU61" s="98"/>
      <c r="EV61" s="98"/>
      <c r="EW61" s="98"/>
      <c r="EX61" s="98"/>
      <c r="EY61" s="98"/>
      <c r="EZ61" s="98"/>
      <c r="FA61" s="98"/>
      <c r="FB61" s="98"/>
      <c r="FC61" s="98"/>
      <c r="FD61" s="98"/>
      <c r="FE61" s="98"/>
      <c r="FF61" s="98"/>
      <c r="FG61" s="98"/>
      <c r="FH61" s="98"/>
      <c r="FI61" s="98"/>
      <c r="FJ61" s="98"/>
      <c r="FK61" s="98"/>
      <c r="FL61" s="98"/>
      <c r="FM61" s="98"/>
      <c r="FN61" s="98"/>
      <c r="FO61" s="98"/>
      <c r="FP61" s="98"/>
      <c r="FQ61" s="98"/>
      <c r="FR61" s="98"/>
      <c r="FS61" s="98"/>
      <c r="FT61" s="98"/>
      <c r="FU61" s="98"/>
      <c r="FV61" s="98"/>
      <c r="FW61" s="98"/>
      <c r="FX61" s="98"/>
      <c r="FY61" s="98"/>
      <c r="FZ61" s="98"/>
      <c r="GA61" s="98"/>
      <c r="GB61" s="98"/>
      <c r="GC61" s="98"/>
      <c r="GD61" s="98"/>
      <c r="GE61" s="98"/>
      <c r="GF61" s="98"/>
      <c r="GG61" s="98"/>
      <c r="GH61" s="98"/>
      <c r="GI61" s="98"/>
      <c r="GJ61" s="98"/>
      <c r="GK61" s="98"/>
      <c r="GL61" s="98"/>
      <c r="GM61" s="98"/>
    </row>
    <row r="62" spans="1:195">
      <c r="A62" s="100">
        <v>312</v>
      </c>
      <c r="B62" s="98">
        <v>81</v>
      </c>
      <c r="C62" s="98" t="s">
        <v>346</v>
      </c>
      <c r="D62" s="126" t="s">
        <v>235</v>
      </c>
      <c r="E62" s="98"/>
      <c r="F62" s="98"/>
      <c r="G62" s="98" t="s">
        <v>15</v>
      </c>
      <c r="H62" s="98" t="s">
        <v>8</v>
      </c>
      <c r="I62" s="98"/>
      <c r="J62" s="98"/>
      <c r="K62" s="98"/>
      <c r="L62" s="98">
        <v>20.6</v>
      </c>
      <c r="M62" s="98"/>
      <c r="N62" s="98"/>
      <c r="O62" s="98"/>
      <c r="P62" s="137"/>
      <c r="Q62" s="128"/>
      <c r="R62" s="98"/>
      <c r="S62" s="97"/>
      <c r="T62" s="129">
        <v>109000</v>
      </c>
      <c r="U62" s="129">
        <v>5</v>
      </c>
      <c r="V62" s="127">
        <v>545000</v>
      </c>
      <c r="W62" s="130"/>
      <c r="X62" s="129">
        <v>6.1</v>
      </c>
      <c r="Y62" s="98"/>
      <c r="Z62" s="98"/>
      <c r="AA62" s="129">
        <v>9.3000000000000007</v>
      </c>
      <c r="AB62" s="98">
        <v>1.28</v>
      </c>
      <c r="AC62" s="131"/>
      <c r="AD62" s="131"/>
      <c r="AE62" s="98">
        <v>1168.6380000000001</v>
      </c>
      <c r="AF62" s="129"/>
      <c r="AG62" s="98"/>
      <c r="AH62" s="98"/>
      <c r="AI62" s="98"/>
      <c r="AJ62" s="98" t="s">
        <v>248</v>
      </c>
      <c r="AK62" s="133">
        <f t="shared" si="0"/>
        <v>1.5245901639344264</v>
      </c>
      <c r="AL62" s="134">
        <f t="shared" si="1"/>
        <v>480.21640577845739</v>
      </c>
      <c r="AM62" s="135">
        <f t="shared" si="2"/>
        <v>0.81967213114754101</v>
      </c>
      <c r="AN62" s="135"/>
      <c r="AO62" s="98"/>
      <c r="AP62" s="136"/>
      <c r="AQ62" s="98"/>
      <c r="AR62" s="98"/>
      <c r="AS62" s="98"/>
      <c r="AT62" s="98"/>
      <c r="AU62" s="98"/>
      <c r="AV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c r="CU62" s="98"/>
      <c r="CV62" s="98"/>
      <c r="CW62" s="98"/>
      <c r="CX62" s="98"/>
      <c r="CY62" s="98"/>
      <c r="CZ62" s="98"/>
      <c r="DA62" s="98"/>
      <c r="DB62" s="98"/>
      <c r="DC62" s="98"/>
      <c r="DD62" s="98"/>
      <c r="DE62" s="98"/>
      <c r="DF62" s="98"/>
      <c r="DG62" s="98"/>
      <c r="DH62" s="98"/>
      <c r="DI62" s="98"/>
      <c r="DJ62" s="98"/>
      <c r="DK62" s="98"/>
      <c r="DL62" s="98"/>
      <c r="DM62" s="98"/>
      <c r="DN62" s="98"/>
      <c r="DO62" s="98"/>
      <c r="DP62" s="98"/>
      <c r="DQ62" s="98"/>
      <c r="DR62" s="98"/>
      <c r="DS62" s="98"/>
      <c r="DT62" s="98"/>
      <c r="DU62" s="98"/>
      <c r="DV62" s="98"/>
      <c r="DW62" s="98"/>
      <c r="DX62" s="98"/>
      <c r="DY62" s="98"/>
      <c r="DZ62" s="98"/>
      <c r="EA62" s="98"/>
      <c r="EB62" s="98"/>
      <c r="EC62" s="98"/>
      <c r="ED62" s="98"/>
      <c r="EE62" s="98"/>
      <c r="EF62" s="98"/>
      <c r="EG62" s="98"/>
      <c r="EH62" s="98"/>
      <c r="EI62" s="98"/>
      <c r="EJ62" s="98"/>
      <c r="EK62" s="98"/>
      <c r="EL62" s="98"/>
      <c r="EM62" s="98"/>
      <c r="EN62" s="98"/>
      <c r="EO62" s="98"/>
      <c r="EP62" s="98"/>
      <c r="EQ62" s="98"/>
      <c r="ER62" s="98"/>
      <c r="ES62" s="98"/>
      <c r="ET62" s="98"/>
      <c r="EU62" s="98"/>
      <c r="EV62" s="98"/>
      <c r="EW62" s="98"/>
      <c r="EX62" s="98"/>
      <c r="EY62" s="98"/>
      <c r="EZ62" s="98"/>
      <c r="FA62" s="98"/>
      <c r="FB62" s="98"/>
      <c r="FC62" s="98"/>
      <c r="FD62" s="98"/>
      <c r="FE62" s="98"/>
      <c r="FF62" s="98"/>
      <c r="FG62" s="98"/>
      <c r="FH62" s="98"/>
      <c r="FI62" s="98"/>
      <c r="FJ62" s="98"/>
      <c r="FK62" s="98"/>
      <c r="FL62" s="98"/>
      <c r="FM62" s="98"/>
      <c r="FN62" s="98"/>
      <c r="FO62" s="98"/>
      <c r="FP62" s="98"/>
      <c r="FQ62" s="98"/>
      <c r="FR62" s="98"/>
      <c r="FS62" s="98"/>
      <c r="FT62" s="98"/>
      <c r="FU62" s="98"/>
      <c r="FV62" s="98"/>
      <c r="FW62" s="98"/>
      <c r="FX62" s="98"/>
      <c r="FY62" s="98"/>
      <c r="FZ62" s="98"/>
      <c r="GA62" s="98"/>
      <c r="GB62" s="98"/>
      <c r="GC62" s="98"/>
      <c r="GD62" s="98"/>
      <c r="GE62" s="98"/>
      <c r="GF62" s="98"/>
      <c r="GG62" s="98"/>
      <c r="GH62" s="98"/>
      <c r="GI62" s="98"/>
      <c r="GJ62" s="98"/>
      <c r="GK62" s="98"/>
      <c r="GL62" s="98"/>
      <c r="GM62" s="98"/>
    </row>
    <row r="63" spans="1:195">
      <c r="A63" s="100">
        <v>319</v>
      </c>
      <c r="B63" s="98">
        <v>83</v>
      </c>
      <c r="C63" s="98" t="s">
        <v>347</v>
      </c>
      <c r="D63" s="126" t="s">
        <v>235</v>
      </c>
      <c r="E63" s="98"/>
      <c r="F63" s="98">
        <v>1986</v>
      </c>
      <c r="G63" s="98" t="s">
        <v>15</v>
      </c>
      <c r="H63" s="98" t="s">
        <v>241</v>
      </c>
      <c r="I63" s="98"/>
      <c r="J63" s="98">
        <v>3.1</v>
      </c>
      <c r="K63" s="98"/>
      <c r="L63" s="98"/>
      <c r="M63" s="98"/>
      <c r="N63" s="98"/>
      <c r="O63" s="98"/>
      <c r="P63" s="98"/>
      <c r="Q63" s="98"/>
      <c r="R63" s="98"/>
      <c r="S63" s="97"/>
      <c r="T63" s="129">
        <v>4070000</v>
      </c>
      <c r="U63" s="129">
        <v>8.08</v>
      </c>
      <c r="V63" s="127">
        <v>32885600</v>
      </c>
      <c r="W63" s="130"/>
      <c r="X63" s="129">
        <v>8.69</v>
      </c>
      <c r="Y63" s="98"/>
      <c r="Z63" s="98"/>
      <c r="AA63" s="129">
        <v>30.5</v>
      </c>
      <c r="AB63" s="98">
        <v>0.77</v>
      </c>
      <c r="AC63" s="131"/>
      <c r="AD63" s="131"/>
      <c r="AE63" s="98"/>
      <c r="AF63" s="129">
        <v>1</v>
      </c>
      <c r="AG63" s="98"/>
      <c r="AH63" s="98"/>
      <c r="AI63" s="98"/>
      <c r="AJ63" s="98" t="s">
        <v>246</v>
      </c>
      <c r="AK63" s="133">
        <f t="shared" si="0"/>
        <v>3.5097813578826238</v>
      </c>
      <c r="AL63" s="134">
        <f t="shared" si="1"/>
        <v>6202.0473830050405</v>
      </c>
      <c r="AM63" s="135">
        <f t="shared" si="2"/>
        <v>0.92980437284234763</v>
      </c>
      <c r="AN63" s="135">
        <f>3600*AF63*SQRT(9.81/X63)</f>
        <v>3824.9619235903506</v>
      </c>
      <c r="AO63" s="98"/>
      <c r="AP63" s="136"/>
      <c r="AQ63" s="98"/>
      <c r="AR63" s="98"/>
      <c r="AS63" s="98"/>
      <c r="AT63" s="98"/>
      <c r="AU63" s="98"/>
      <c r="AV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c r="CU63" s="98"/>
      <c r="CV63" s="98"/>
      <c r="CW63" s="98"/>
      <c r="CX63" s="98"/>
      <c r="CY63" s="98"/>
      <c r="CZ63" s="98"/>
      <c r="DA63" s="98"/>
      <c r="DB63" s="98"/>
      <c r="DC63" s="98"/>
      <c r="DD63" s="98"/>
      <c r="DE63" s="98"/>
      <c r="DF63" s="98"/>
      <c r="DG63" s="98"/>
      <c r="DH63" s="98"/>
      <c r="DI63" s="98"/>
      <c r="DJ63" s="98"/>
      <c r="DK63" s="98"/>
      <c r="DL63" s="98"/>
      <c r="DM63" s="98"/>
      <c r="DN63" s="98"/>
      <c r="DO63" s="98"/>
      <c r="DP63" s="98"/>
      <c r="DQ63" s="98"/>
      <c r="DR63" s="98"/>
      <c r="DS63" s="98"/>
      <c r="DT63" s="98"/>
      <c r="DU63" s="98"/>
      <c r="DV63" s="98"/>
      <c r="DW63" s="98"/>
      <c r="DX63" s="98"/>
      <c r="DY63" s="98"/>
      <c r="DZ63" s="98"/>
      <c r="EA63" s="98"/>
      <c r="EB63" s="98"/>
      <c r="EC63" s="98"/>
      <c r="ED63" s="98"/>
      <c r="EE63" s="98"/>
      <c r="EF63" s="98"/>
      <c r="EG63" s="98"/>
      <c r="EH63" s="98"/>
      <c r="EI63" s="98"/>
      <c r="EJ63" s="98"/>
      <c r="EK63" s="98"/>
      <c r="EL63" s="98"/>
      <c r="EM63" s="98"/>
      <c r="EN63" s="98"/>
      <c r="EO63" s="98"/>
      <c r="EP63" s="98"/>
      <c r="EQ63" s="98"/>
      <c r="ER63" s="98"/>
      <c r="ES63" s="98"/>
      <c r="ET63" s="98"/>
      <c r="EU63" s="98"/>
      <c r="EV63" s="98"/>
      <c r="EW63" s="98"/>
      <c r="EX63" s="98"/>
      <c r="EY63" s="98"/>
      <c r="EZ63" s="98"/>
      <c r="FA63" s="98"/>
      <c r="FB63" s="98"/>
      <c r="FC63" s="98"/>
      <c r="FD63" s="98"/>
      <c r="FE63" s="98"/>
      <c r="FF63" s="98"/>
      <c r="FG63" s="98"/>
      <c r="FH63" s="98"/>
      <c r="FI63" s="98"/>
      <c r="FJ63" s="98"/>
      <c r="FK63" s="98"/>
      <c r="FL63" s="98"/>
      <c r="FM63" s="98"/>
      <c r="FN63" s="98"/>
      <c r="FO63" s="98"/>
      <c r="FP63" s="98"/>
      <c r="FQ63" s="98"/>
      <c r="FR63" s="98"/>
      <c r="FS63" s="98"/>
      <c r="FT63" s="98"/>
      <c r="FU63" s="98"/>
      <c r="FV63" s="98"/>
      <c r="FW63" s="98"/>
      <c r="FX63" s="98"/>
      <c r="FY63" s="98"/>
      <c r="FZ63" s="98"/>
      <c r="GA63" s="98"/>
      <c r="GB63" s="98"/>
      <c r="GC63" s="98"/>
      <c r="GD63" s="98"/>
      <c r="GE63" s="98"/>
      <c r="GF63" s="98"/>
      <c r="GG63" s="98"/>
      <c r="GH63" s="98"/>
      <c r="GI63" s="98"/>
      <c r="GJ63" s="98"/>
      <c r="GK63" s="98"/>
      <c r="GL63" s="98"/>
      <c r="GM63" s="98"/>
    </row>
    <row r="64" spans="1:195">
      <c r="A64" s="100">
        <v>322</v>
      </c>
      <c r="B64" s="98">
        <v>84</v>
      </c>
      <c r="C64" s="98" t="s">
        <v>348</v>
      </c>
      <c r="D64" s="126" t="s">
        <v>235</v>
      </c>
      <c r="E64" s="98">
        <v>1947</v>
      </c>
      <c r="F64" s="98">
        <v>1977</v>
      </c>
      <c r="G64" s="98" t="s">
        <v>9</v>
      </c>
      <c r="H64" s="98" t="s">
        <v>241</v>
      </c>
      <c r="I64" s="98"/>
      <c r="J64" s="98">
        <v>7.3</v>
      </c>
      <c r="K64" s="98"/>
      <c r="L64" s="98">
        <v>23.5</v>
      </c>
      <c r="M64" s="98"/>
      <c r="N64" s="98"/>
      <c r="O64" s="98"/>
      <c r="P64" s="98"/>
      <c r="Q64" s="98"/>
      <c r="R64" s="98"/>
      <c r="S64" s="97"/>
      <c r="T64" s="129">
        <v>105000</v>
      </c>
      <c r="U64" s="129">
        <v>7.77</v>
      </c>
      <c r="V64" s="127">
        <v>815850</v>
      </c>
      <c r="W64" s="130"/>
      <c r="X64" s="129">
        <v>7.77</v>
      </c>
      <c r="Y64" s="98"/>
      <c r="Z64" s="98"/>
      <c r="AA64" s="129">
        <v>16.5</v>
      </c>
      <c r="AB64" s="98">
        <v>1.25</v>
      </c>
      <c r="AC64" s="131"/>
      <c r="AD64" s="131"/>
      <c r="AE64" s="98">
        <v>3012.8174999999997</v>
      </c>
      <c r="AF64" s="129"/>
      <c r="AG64" s="98"/>
      <c r="AH64" s="98"/>
      <c r="AI64" s="98"/>
      <c r="AJ64" s="98" t="s">
        <v>246</v>
      </c>
      <c r="AK64" s="133">
        <f t="shared" si="0"/>
        <v>2.1235521235521237</v>
      </c>
      <c r="AL64" s="134">
        <f t="shared" si="1"/>
        <v>223.83409631661749</v>
      </c>
      <c r="AM64" s="135">
        <f t="shared" si="2"/>
        <v>1</v>
      </c>
      <c r="AN64" s="135"/>
      <c r="AO64" s="98"/>
      <c r="AP64" s="136"/>
      <c r="AQ64" s="98"/>
      <c r="AR64" s="98"/>
      <c r="AS64" s="98"/>
      <c r="AT64" s="98"/>
      <c r="AU64" s="98"/>
      <c r="AV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c r="CU64" s="98"/>
      <c r="CV64" s="98"/>
      <c r="CW64" s="98"/>
      <c r="CX64" s="98"/>
      <c r="CY64" s="98"/>
      <c r="CZ64" s="98"/>
      <c r="DA64" s="98"/>
      <c r="DB64" s="98"/>
      <c r="DC64" s="98"/>
      <c r="DD64" s="98"/>
      <c r="DE64" s="98"/>
      <c r="DF64" s="98"/>
      <c r="DG64" s="98"/>
      <c r="DH64" s="98"/>
      <c r="DI64" s="98"/>
      <c r="DJ64" s="98"/>
      <c r="DK64" s="98"/>
      <c r="DL64" s="98"/>
      <c r="DM64" s="98"/>
      <c r="DN64" s="98"/>
      <c r="DO64" s="98"/>
      <c r="DP64" s="98"/>
      <c r="DQ64" s="98"/>
      <c r="DR64" s="98"/>
      <c r="DS64" s="98"/>
      <c r="DT64" s="98"/>
      <c r="DU64" s="98"/>
      <c r="DV64" s="98"/>
      <c r="DW64" s="98"/>
      <c r="DX64" s="98"/>
      <c r="DY64" s="98"/>
      <c r="DZ64" s="98"/>
      <c r="EA64" s="98"/>
      <c r="EB64" s="98"/>
      <c r="EC64" s="98"/>
      <c r="ED64" s="98"/>
      <c r="EE64" s="98"/>
      <c r="EF64" s="98"/>
      <c r="EG64" s="98"/>
      <c r="EH64" s="98"/>
      <c r="EI64" s="98"/>
      <c r="EJ64" s="98"/>
      <c r="EK64" s="98"/>
      <c r="EL64" s="98"/>
      <c r="EM64" s="98"/>
      <c r="EN64" s="98"/>
      <c r="EO64" s="98"/>
      <c r="EP64" s="98"/>
      <c r="EQ64" s="98"/>
      <c r="ER64" s="98"/>
      <c r="ES64" s="98"/>
      <c r="ET64" s="98"/>
      <c r="EU64" s="98"/>
      <c r="EV64" s="98"/>
      <c r="EW64" s="98"/>
      <c r="EX64" s="98"/>
      <c r="EY64" s="98"/>
      <c r="EZ64" s="98"/>
      <c r="FA64" s="98"/>
      <c r="FB64" s="98"/>
      <c r="FC64" s="98"/>
      <c r="FD64" s="98"/>
      <c r="FE64" s="98"/>
      <c r="FF64" s="98"/>
      <c r="FG64" s="98"/>
      <c r="FH64" s="98"/>
      <c r="FI64" s="98"/>
      <c r="FJ64" s="98"/>
      <c r="FK64" s="98"/>
      <c r="FL64" s="98"/>
      <c r="FM64" s="98"/>
      <c r="FN64" s="98"/>
      <c r="FO64" s="98"/>
      <c r="FP64" s="98"/>
      <c r="FQ64" s="98"/>
      <c r="FR64" s="98"/>
      <c r="FS64" s="98"/>
      <c r="FT64" s="98"/>
      <c r="FU64" s="98"/>
      <c r="FV64" s="98"/>
      <c r="FW64" s="98"/>
      <c r="FX64" s="98"/>
      <c r="FY64" s="98"/>
      <c r="FZ64" s="98"/>
      <c r="GA64" s="98"/>
      <c r="GB64" s="98"/>
      <c r="GC64" s="98"/>
      <c r="GD64" s="98"/>
      <c r="GE64" s="98"/>
      <c r="GF64" s="98"/>
      <c r="GG64" s="98"/>
      <c r="GH64" s="98"/>
      <c r="GI64" s="98"/>
      <c r="GJ64" s="98"/>
      <c r="GK64" s="98"/>
      <c r="GL64" s="98"/>
      <c r="GM64" s="98"/>
    </row>
    <row r="65" spans="1:195">
      <c r="A65" s="100">
        <v>326</v>
      </c>
      <c r="B65" s="98">
        <v>85</v>
      </c>
      <c r="C65" s="98" t="s">
        <v>349</v>
      </c>
      <c r="D65" s="126" t="s">
        <v>235</v>
      </c>
      <c r="E65" s="98">
        <v>1914</v>
      </c>
      <c r="F65" s="98">
        <v>1980</v>
      </c>
      <c r="G65" s="98" t="s">
        <v>15</v>
      </c>
      <c r="H65" s="98" t="s">
        <v>241</v>
      </c>
      <c r="I65" s="98"/>
      <c r="J65" s="98">
        <v>4.3</v>
      </c>
      <c r="K65" s="98"/>
      <c r="L65" s="98">
        <v>13.1</v>
      </c>
      <c r="M65" s="98"/>
      <c r="N65" s="98"/>
      <c r="O65" s="98"/>
      <c r="P65" s="98"/>
      <c r="Q65" s="98"/>
      <c r="R65" s="98">
        <v>116</v>
      </c>
      <c r="S65" s="97" t="s">
        <v>350</v>
      </c>
      <c r="T65" s="129">
        <v>3540000</v>
      </c>
      <c r="U65" s="129">
        <v>1.68</v>
      </c>
      <c r="V65" s="127">
        <v>5947200</v>
      </c>
      <c r="W65" s="130"/>
      <c r="X65" s="129">
        <v>4.42</v>
      </c>
      <c r="Y65" s="98"/>
      <c r="Z65" s="98"/>
      <c r="AA65" s="129">
        <v>88.4</v>
      </c>
      <c r="AB65" s="98">
        <v>0.69</v>
      </c>
      <c r="AC65" s="131"/>
      <c r="AD65" s="131"/>
      <c r="AE65" s="98">
        <v>5118.5367999999999</v>
      </c>
      <c r="AF65" s="129">
        <v>2.5</v>
      </c>
      <c r="AG65" s="98"/>
      <c r="AH65" s="98"/>
      <c r="AI65" s="98"/>
      <c r="AJ65" s="98" t="s">
        <v>302</v>
      </c>
      <c r="AK65" s="133">
        <f t="shared" si="0"/>
        <v>20</v>
      </c>
      <c r="AL65" s="134">
        <f t="shared" si="1"/>
        <v>40995.525141559636</v>
      </c>
      <c r="AM65" s="135">
        <f t="shared" si="2"/>
        <v>0.38009049773755654</v>
      </c>
      <c r="AN65" s="135">
        <f>3600*AF65*SQRT(9.81/X65)</f>
        <v>13408.057954064323</v>
      </c>
      <c r="AO65" s="98"/>
      <c r="AP65" s="136"/>
      <c r="AQ65" s="98"/>
      <c r="AR65" s="98"/>
      <c r="AS65" s="98"/>
      <c r="AT65" s="98"/>
      <c r="AU65" s="98"/>
      <c r="AV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c r="CU65" s="98"/>
      <c r="CV65" s="98"/>
      <c r="CW65" s="98"/>
      <c r="CX65" s="98"/>
      <c r="CY65" s="98"/>
      <c r="CZ65" s="98"/>
      <c r="DA65" s="98"/>
      <c r="DB65" s="98"/>
      <c r="DC65" s="98"/>
      <c r="DD65" s="98"/>
      <c r="DE65" s="98"/>
      <c r="DF65" s="98"/>
      <c r="DG65" s="98"/>
      <c r="DH65" s="98"/>
      <c r="DI65" s="98"/>
      <c r="DJ65" s="98"/>
      <c r="DK65" s="98"/>
      <c r="DL65" s="98"/>
      <c r="DM65" s="98"/>
      <c r="DN65" s="98"/>
      <c r="DO65" s="98"/>
      <c r="DP65" s="98"/>
      <c r="DQ65" s="98"/>
      <c r="DR65" s="98"/>
      <c r="DS65" s="98"/>
      <c r="DT65" s="98"/>
      <c r="DU65" s="98"/>
      <c r="DV65" s="98"/>
      <c r="DW65" s="98"/>
      <c r="DX65" s="98"/>
      <c r="DY65" s="98"/>
      <c r="DZ65" s="98"/>
      <c r="EA65" s="98"/>
      <c r="EB65" s="98"/>
      <c r="EC65" s="98"/>
      <c r="ED65" s="98"/>
      <c r="EE65" s="98"/>
      <c r="EF65" s="98"/>
      <c r="EG65" s="98"/>
      <c r="EH65" s="98"/>
      <c r="EI65" s="98"/>
      <c r="EJ65" s="98"/>
      <c r="EK65" s="98"/>
      <c r="EL65" s="98"/>
      <c r="EM65" s="98"/>
      <c r="EN65" s="98"/>
      <c r="EO65" s="98"/>
      <c r="EP65" s="98"/>
      <c r="EQ65" s="98"/>
      <c r="ER65" s="98"/>
      <c r="ES65" s="98"/>
      <c r="ET65" s="98"/>
      <c r="EU65" s="98"/>
      <c r="EV65" s="98"/>
      <c r="EW65" s="98"/>
      <c r="EX65" s="98"/>
      <c r="EY65" s="98"/>
      <c r="EZ65" s="98"/>
      <c r="FA65" s="98"/>
      <c r="FB65" s="98"/>
      <c r="FC65" s="98"/>
      <c r="FD65" s="98"/>
      <c r="FE65" s="98"/>
      <c r="FF65" s="98"/>
      <c r="FG65" s="98"/>
      <c r="FH65" s="98"/>
      <c r="FI65" s="98"/>
      <c r="FJ65" s="98"/>
      <c r="FK65" s="98"/>
      <c r="FL65" s="98"/>
      <c r="FM65" s="98"/>
      <c r="FN65" s="98"/>
      <c r="FO65" s="98"/>
      <c r="FP65" s="98"/>
      <c r="FQ65" s="98"/>
      <c r="FR65" s="98"/>
      <c r="FS65" s="98"/>
      <c r="FT65" s="98"/>
      <c r="FU65" s="98"/>
      <c r="FV65" s="98"/>
      <c r="FW65" s="98"/>
      <c r="FX65" s="98"/>
      <c r="FY65" s="98"/>
      <c r="FZ65" s="98"/>
      <c r="GA65" s="98"/>
      <c r="GB65" s="98"/>
      <c r="GC65" s="98"/>
      <c r="GD65" s="98"/>
      <c r="GE65" s="98"/>
      <c r="GF65" s="98"/>
      <c r="GG65" s="98"/>
      <c r="GH65" s="98"/>
      <c r="GI65" s="98"/>
      <c r="GJ65" s="98"/>
      <c r="GK65" s="98"/>
      <c r="GL65" s="98"/>
      <c r="GM65" s="98"/>
    </row>
    <row r="66" spans="1:195">
      <c r="A66" s="100">
        <v>333</v>
      </c>
      <c r="B66" s="98">
        <v>87</v>
      </c>
      <c r="C66" s="98" t="s">
        <v>351</v>
      </c>
      <c r="D66" s="126" t="s">
        <v>235</v>
      </c>
      <c r="E66" s="98">
        <v>1986</v>
      </c>
      <c r="F66" s="98">
        <v>1989</v>
      </c>
      <c r="G66" s="98" t="s">
        <v>15</v>
      </c>
      <c r="H66" s="98" t="s">
        <v>241</v>
      </c>
      <c r="I66" s="98"/>
      <c r="J66" s="98"/>
      <c r="K66" s="98"/>
      <c r="L66" s="98">
        <v>56.6</v>
      </c>
      <c r="M66" s="98"/>
      <c r="N66" s="98"/>
      <c r="O66" s="98"/>
      <c r="P66" s="98"/>
      <c r="Q66" s="98"/>
      <c r="R66" s="98">
        <v>3110</v>
      </c>
      <c r="S66" s="97" t="s">
        <v>237</v>
      </c>
      <c r="T66" s="129">
        <v>30800000</v>
      </c>
      <c r="U66" s="129">
        <v>16.7</v>
      </c>
      <c r="V66" s="127">
        <v>514360000</v>
      </c>
      <c r="W66" s="130"/>
      <c r="X66" s="129">
        <v>21.3</v>
      </c>
      <c r="Y66" s="98"/>
      <c r="Z66" s="98"/>
      <c r="AA66" s="129">
        <v>70</v>
      </c>
      <c r="AB66" s="98">
        <v>0.1</v>
      </c>
      <c r="AC66" s="131"/>
      <c r="AD66" s="131"/>
      <c r="AE66" s="98">
        <v>84390.6</v>
      </c>
      <c r="AF66" s="129">
        <v>1</v>
      </c>
      <c r="AG66" s="98"/>
      <c r="AH66" s="98"/>
      <c r="AI66" s="98"/>
      <c r="AJ66" s="98" t="s">
        <v>258</v>
      </c>
      <c r="AK66" s="133">
        <f t="shared" si="0"/>
        <v>3.2863849765258215</v>
      </c>
      <c r="AL66" s="134">
        <f t="shared" si="1"/>
        <v>3187.2190034414716</v>
      </c>
      <c r="AM66" s="135">
        <f t="shared" si="2"/>
        <v>0.784037558685446</v>
      </c>
      <c r="AN66" s="135">
        <f>3600*AF66*SQRT(9.81/X66)</f>
        <v>2443.1335224360341</v>
      </c>
      <c r="AO66" s="98"/>
      <c r="AP66" s="136"/>
      <c r="AQ66" s="98"/>
      <c r="AR66" s="98"/>
      <c r="AS66" s="98"/>
      <c r="AT66" s="98"/>
      <c r="AU66" s="98"/>
      <c r="AV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c r="CU66" s="98"/>
      <c r="CV66" s="98"/>
      <c r="CW66" s="98"/>
      <c r="CX66" s="98"/>
      <c r="CY66" s="98"/>
      <c r="CZ66" s="98"/>
      <c r="DA66" s="98"/>
      <c r="DB66" s="98"/>
      <c r="DC66" s="98"/>
      <c r="DD66" s="98"/>
      <c r="DE66" s="98"/>
      <c r="DF66" s="98"/>
      <c r="DG66" s="98"/>
      <c r="DH66" s="98"/>
      <c r="DI66" s="98"/>
      <c r="DJ66" s="98"/>
      <c r="DK66" s="98"/>
      <c r="DL66" s="98"/>
      <c r="DM66" s="98"/>
      <c r="DN66" s="98"/>
      <c r="DO66" s="98"/>
      <c r="DP66" s="98"/>
      <c r="DQ66" s="98"/>
      <c r="DR66" s="98"/>
      <c r="DS66" s="98"/>
      <c r="DT66" s="98"/>
      <c r="DU66" s="98"/>
      <c r="DV66" s="98"/>
      <c r="DW66" s="98"/>
      <c r="DX66" s="98"/>
      <c r="DY66" s="98"/>
      <c r="DZ66" s="98"/>
      <c r="EA66" s="98"/>
      <c r="EB66" s="98"/>
      <c r="EC66" s="98"/>
      <c r="ED66" s="98"/>
      <c r="EE66" s="98"/>
      <c r="EF66" s="98"/>
      <c r="EG66" s="98"/>
      <c r="EH66" s="98"/>
      <c r="EI66" s="98"/>
      <c r="EJ66" s="98"/>
      <c r="EK66" s="98"/>
      <c r="EL66" s="98"/>
      <c r="EM66" s="98"/>
      <c r="EN66" s="98"/>
      <c r="EO66" s="98"/>
      <c r="EP66" s="98"/>
      <c r="EQ66" s="98"/>
      <c r="ER66" s="98"/>
      <c r="ES66" s="98"/>
      <c r="ET66" s="98"/>
      <c r="EU66" s="98"/>
      <c r="EV66" s="98"/>
      <c r="EW66" s="98"/>
      <c r="EX66" s="98"/>
      <c r="EY66" s="98"/>
      <c r="EZ66" s="98"/>
      <c r="FA66" s="98"/>
      <c r="FB66" s="98"/>
      <c r="FC66" s="98"/>
      <c r="FD66" s="98"/>
      <c r="FE66" s="98"/>
      <c r="FF66" s="98"/>
      <c r="FG66" s="98"/>
      <c r="FH66" s="98"/>
      <c r="FI66" s="98"/>
      <c r="FJ66" s="98"/>
      <c r="FK66" s="98"/>
      <c r="FL66" s="98"/>
      <c r="FM66" s="98"/>
      <c r="FN66" s="98"/>
      <c r="FO66" s="98"/>
      <c r="FP66" s="98"/>
      <c r="FQ66" s="98"/>
      <c r="FR66" s="98"/>
      <c r="FS66" s="98"/>
      <c r="FT66" s="98"/>
      <c r="FU66" s="98"/>
      <c r="FV66" s="98"/>
      <c r="FW66" s="98"/>
      <c r="FX66" s="98"/>
      <c r="FY66" s="98"/>
      <c r="FZ66" s="98"/>
      <c r="GA66" s="98"/>
      <c r="GB66" s="98"/>
      <c r="GC66" s="98"/>
      <c r="GD66" s="98"/>
      <c r="GE66" s="98"/>
      <c r="GF66" s="98"/>
      <c r="GG66" s="98"/>
      <c r="GH66" s="98"/>
      <c r="GI66" s="98"/>
      <c r="GJ66" s="98"/>
      <c r="GK66" s="98"/>
      <c r="GL66" s="98"/>
      <c r="GM66" s="98"/>
    </row>
    <row r="67" spans="1:195">
      <c r="A67" s="100">
        <v>336</v>
      </c>
      <c r="B67" s="98">
        <v>88</v>
      </c>
      <c r="C67" s="98" t="s">
        <v>352</v>
      </c>
      <c r="D67" s="126" t="s">
        <v>235</v>
      </c>
      <c r="E67" s="98"/>
      <c r="F67" s="98">
        <v>1986</v>
      </c>
      <c r="G67" s="98" t="s">
        <v>9</v>
      </c>
      <c r="H67" s="98" t="s">
        <v>241</v>
      </c>
      <c r="I67" s="98"/>
      <c r="J67" s="98">
        <v>11.3</v>
      </c>
      <c r="K67" s="98"/>
      <c r="L67" s="98">
        <v>28.2</v>
      </c>
      <c r="M67" s="98"/>
      <c r="N67" s="98"/>
      <c r="O67" s="98"/>
      <c r="P67" s="98"/>
      <c r="Q67" s="98"/>
      <c r="R67" s="98"/>
      <c r="S67" s="97"/>
      <c r="T67" s="129">
        <v>6780000</v>
      </c>
      <c r="U67" s="129">
        <v>10</v>
      </c>
      <c r="V67" s="127">
        <v>67800000</v>
      </c>
      <c r="W67" s="130"/>
      <c r="X67" s="129">
        <v>9.5399999999999991</v>
      </c>
      <c r="Y67" s="98"/>
      <c r="Z67" s="98"/>
      <c r="AA67" s="129">
        <v>38.9</v>
      </c>
      <c r="AB67" s="98">
        <v>2.52</v>
      </c>
      <c r="AC67" s="131"/>
      <c r="AD67" s="131"/>
      <c r="AE67" s="98">
        <v>10465.189199999997</v>
      </c>
      <c r="AF67" s="129"/>
      <c r="AG67" s="98"/>
      <c r="AH67" s="98"/>
      <c r="AI67" s="98"/>
      <c r="AJ67" s="98" t="s">
        <v>246</v>
      </c>
      <c r="AK67" s="133">
        <f t="shared" si="0"/>
        <v>4.0775681341719077</v>
      </c>
      <c r="AL67" s="134">
        <f t="shared" si="1"/>
        <v>7808.8048545391057</v>
      </c>
      <c r="AM67" s="135">
        <f t="shared" si="2"/>
        <v>1.0482180293501049</v>
      </c>
      <c r="AN67" s="135"/>
      <c r="AO67" s="98"/>
      <c r="AP67" s="136"/>
      <c r="AQ67" s="98"/>
      <c r="AR67" s="98"/>
      <c r="AS67" s="98"/>
      <c r="AT67" s="98"/>
      <c r="AU67" s="98"/>
      <c r="AV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c r="CU67" s="98"/>
      <c r="CV67" s="98"/>
      <c r="CW67" s="98"/>
      <c r="CX67" s="98"/>
      <c r="CY67" s="98"/>
      <c r="CZ67" s="98"/>
      <c r="DA67" s="98"/>
      <c r="DB67" s="98"/>
      <c r="DC67" s="98"/>
      <c r="DD67" s="98"/>
      <c r="DE67" s="98"/>
      <c r="DF67" s="98"/>
      <c r="DG67" s="98"/>
      <c r="DH67" s="98"/>
      <c r="DI67" s="98"/>
      <c r="DJ67" s="98"/>
      <c r="DK67" s="98"/>
      <c r="DL67" s="98"/>
      <c r="DM67" s="98"/>
      <c r="DN67" s="98"/>
      <c r="DO67" s="98"/>
      <c r="DP67" s="98"/>
      <c r="DQ67" s="98"/>
      <c r="DR67" s="98"/>
      <c r="DS67" s="98"/>
      <c r="DT67" s="98"/>
      <c r="DU67" s="98"/>
      <c r="DV67" s="98"/>
      <c r="DW67" s="98"/>
      <c r="DX67" s="98"/>
      <c r="DY67" s="98"/>
      <c r="DZ67" s="98"/>
      <c r="EA67" s="98"/>
      <c r="EB67" s="98"/>
      <c r="EC67" s="98"/>
      <c r="ED67" s="98"/>
      <c r="EE67" s="98"/>
      <c r="EF67" s="98"/>
      <c r="EG67" s="98"/>
      <c r="EH67" s="98"/>
      <c r="EI67" s="98"/>
      <c r="EJ67" s="98"/>
      <c r="EK67" s="98"/>
      <c r="EL67" s="98"/>
      <c r="EM67" s="98"/>
      <c r="EN67" s="98"/>
      <c r="EO67" s="98"/>
      <c r="EP67" s="98"/>
      <c r="EQ67" s="98"/>
      <c r="ER67" s="98"/>
      <c r="ES67" s="98"/>
      <c r="ET67" s="98"/>
      <c r="EU67" s="98"/>
      <c r="EV67" s="98"/>
      <c r="EW67" s="98"/>
      <c r="EX67" s="98"/>
      <c r="EY67" s="98"/>
      <c r="EZ67" s="98"/>
      <c r="FA67" s="98"/>
      <c r="FB67" s="98"/>
      <c r="FC67" s="98"/>
      <c r="FD67" s="98"/>
      <c r="FE67" s="98"/>
      <c r="FF67" s="98"/>
      <c r="FG67" s="98"/>
      <c r="FH67" s="98"/>
      <c r="FI67" s="98"/>
      <c r="FJ67" s="98"/>
      <c r="FK67" s="98"/>
      <c r="FL67" s="98"/>
      <c r="FM67" s="98"/>
      <c r="FN67" s="98"/>
      <c r="FO67" s="98"/>
      <c r="FP67" s="98"/>
      <c r="FQ67" s="98"/>
      <c r="FR67" s="98"/>
      <c r="FS67" s="98"/>
      <c r="FT67" s="98"/>
      <c r="FU67" s="98"/>
      <c r="FV67" s="98"/>
      <c r="FW67" s="98"/>
      <c r="FX67" s="98"/>
      <c r="FY67" s="98"/>
      <c r="FZ67" s="98"/>
      <c r="GA67" s="98"/>
      <c r="GB67" s="98"/>
      <c r="GC67" s="98"/>
      <c r="GD67" s="98"/>
      <c r="GE67" s="98"/>
      <c r="GF67" s="98"/>
      <c r="GG67" s="98"/>
      <c r="GH67" s="98"/>
      <c r="GI67" s="98"/>
      <c r="GJ67" s="98"/>
      <c r="GK67" s="98"/>
      <c r="GL67" s="98"/>
      <c r="GM67" s="98"/>
    </row>
    <row r="68" spans="1:195">
      <c r="A68" s="100">
        <v>338</v>
      </c>
      <c r="B68" s="98">
        <v>89</v>
      </c>
      <c r="C68" s="98" t="s">
        <v>353</v>
      </c>
      <c r="D68" s="126" t="s">
        <v>235</v>
      </c>
      <c r="E68" s="98"/>
      <c r="F68" s="98"/>
      <c r="G68" s="98" t="s">
        <v>9</v>
      </c>
      <c r="H68" s="98"/>
      <c r="I68" s="98"/>
      <c r="J68" s="98"/>
      <c r="K68" s="98"/>
      <c r="L68" s="98">
        <v>11</v>
      </c>
      <c r="M68" s="98"/>
      <c r="N68" s="98"/>
      <c r="O68" s="98"/>
      <c r="P68" s="98"/>
      <c r="Q68" s="98"/>
      <c r="R68" s="98"/>
      <c r="S68" s="97"/>
      <c r="T68" s="129">
        <v>13900</v>
      </c>
      <c r="U68" s="129">
        <v>3.66</v>
      </c>
      <c r="V68" s="127">
        <v>50874</v>
      </c>
      <c r="W68" s="130"/>
      <c r="X68" s="129">
        <v>3.66</v>
      </c>
      <c r="Y68" s="98"/>
      <c r="Z68" s="98"/>
      <c r="AA68" s="129">
        <v>2.29</v>
      </c>
      <c r="AB68" s="98">
        <v>0.63</v>
      </c>
      <c r="AC68" s="131"/>
      <c r="AD68" s="131"/>
      <c r="AE68" s="98">
        <v>92.195400000000006</v>
      </c>
      <c r="AF68" s="129"/>
      <c r="AG68" s="98"/>
      <c r="AH68" s="98"/>
      <c r="AI68" s="98"/>
      <c r="AJ68" s="98" t="s">
        <v>248</v>
      </c>
      <c r="AK68" s="133">
        <f t="shared" si="0"/>
        <v>0.62568306010928965</v>
      </c>
      <c r="AL68" s="134">
        <f t="shared" si="1"/>
        <v>283.51206423379864</v>
      </c>
      <c r="AM68" s="135">
        <f t="shared" si="2"/>
        <v>1</v>
      </c>
      <c r="AN68" s="135"/>
      <c r="AO68" s="98"/>
      <c r="AP68" s="136"/>
      <c r="AQ68" s="98"/>
      <c r="AR68" s="98"/>
      <c r="AS68" s="98"/>
      <c r="AT68" s="98"/>
      <c r="AU68" s="98"/>
      <c r="AV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c r="CU68" s="98"/>
      <c r="CV68" s="98"/>
      <c r="CW68" s="98"/>
      <c r="CX68" s="98"/>
      <c r="CY68" s="98"/>
      <c r="CZ68" s="98"/>
      <c r="DA68" s="98"/>
      <c r="DB68" s="98"/>
      <c r="DC68" s="98"/>
      <c r="DD68" s="98"/>
      <c r="DE68" s="98"/>
      <c r="DF68" s="98"/>
      <c r="DG68" s="98"/>
      <c r="DH68" s="98"/>
      <c r="DI68" s="98"/>
      <c r="DJ68" s="98"/>
      <c r="DK68" s="98"/>
      <c r="DL68" s="98"/>
      <c r="DM68" s="98"/>
      <c r="DN68" s="98"/>
      <c r="DO68" s="98"/>
      <c r="DP68" s="98"/>
      <c r="DQ68" s="98"/>
      <c r="DR68" s="98"/>
      <c r="DS68" s="98"/>
      <c r="DT68" s="98"/>
      <c r="DU68" s="98"/>
      <c r="DV68" s="98"/>
      <c r="DW68" s="98"/>
      <c r="DX68" s="98"/>
      <c r="DY68" s="98"/>
      <c r="DZ68" s="98"/>
      <c r="EA68" s="98"/>
      <c r="EB68" s="98"/>
      <c r="EC68" s="98"/>
      <c r="ED68" s="98"/>
      <c r="EE68" s="98"/>
      <c r="EF68" s="98"/>
      <c r="EG68" s="98"/>
      <c r="EH68" s="98"/>
      <c r="EI68" s="98"/>
      <c r="EJ68" s="98"/>
      <c r="EK68" s="98"/>
      <c r="EL68" s="98"/>
      <c r="EM68" s="98"/>
      <c r="EN68" s="98"/>
      <c r="EO68" s="98"/>
      <c r="EP68" s="98"/>
      <c r="EQ68" s="98"/>
      <c r="ER68" s="98"/>
      <c r="ES68" s="98"/>
      <c r="ET68" s="98"/>
      <c r="EU68" s="98"/>
      <c r="EV68" s="98"/>
      <c r="EW68" s="98"/>
      <c r="EX68" s="98"/>
      <c r="EY68" s="98"/>
      <c r="EZ68" s="98"/>
      <c r="FA68" s="98"/>
      <c r="FB68" s="98"/>
      <c r="FC68" s="98"/>
      <c r="FD68" s="98"/>
      <c r="FE68" s="98"/>
      <c r="FF68" s="98"/>
      <c r="FG68" s="98"/>
      <c r="FH68" s="98"/>
      <c r="FI68" s="98"/>
      <c r="FJ68" s="98"/>
      <c r="FK68" s="98"/>
      <c r="FL68" s="98"/>
      <c r="FM68" s="98"/>
      <c r="FN68" s="98"/>
      <c r="FO68" s="98"/>
      <c r="FP68" s="98"/>
      <c r="FQ68" s="98"/>
      <c r="FR68" s="98"/>
      <c r="FS68" s="98"/>
      <c r="FT68" s="98"/>
      <c r="FU68" s="98"/>
      <c r="FV68" s="98"/>
      <c r="FW68" s="98"/>
      <c r="FX68" s="98"/>
      <c r="FY68" s="98"/>
      <c r="FZ68" s="98"/>
      <c r="GA68" s="98"/>
      <c r="GB68" s="98"/>
      <c r="GC68" s="98"/>
      <c r="GD68" s="98"/>
      <c r="GE68" s="98"/>
      <c r="GF68" s="98"/>
      <c r="GG68" s="98"/>
      <c r="GH68" s="98"/>
      <c r="GI68" s="98"/>
      <c r="GJ68" s="98"/>
      <c r="GK68" s="98"/>
      <c r="GL68" s="98"/>
      <c r="GM68" s="98"/>
    </row>
    <row r="69" spans="1:195">
      <c r="A69" s="100">
        <v>343</v>
      </c>
      <c r="B69" s="98">
        <v>90</v>
      </c>
      <c r="C69" s="98" t="s">
        <v>354</v>
      </c>
      <c r="D69" s="126" t="s">
        <v>235</v>
      </c>
      <c r="E69" s="98"/>
      <c r="F69" s="98">
        <v>1975</v>
      </c>
      <c r="G69" s="98" t="s">
        <v>15</v>
      </c>
      <c r="H69" s="98" t="s">
        <v>241</v>
      </c>
      <c r="I69" s="98">
        <v>7.32</v>
      </c>
      <c r="J69" s="98">
        <v>3.7</v>
      </c>
      <c r="K69" s="98"/>
      <c r="L69" s="98">
        <v>13.3</v>
      </c>
      <c r="M69" s="98">
        <v>1.34</v>
      </c>
      <c r="N69" s="98">
        <v>1.34</v>
      </c>
      <c r="O69" s="98"/>
      <c r="P69" s="127">
        <v>24700</v>
      </c>
      <c r="Q69" s="128"/>
      <c r="R69" s="98"/>
      <c r="S69" s="97"/>
      <c r="T69" s="129">
        <v>24700</v>
      </c>
      <c r="U69" s="129">
        <v>4.57</v>
      </c>
      <c r="V69" s="127">
        <v>112879</v>
      </c>
      <c r="W69" s="130" t="s">
        <v>238</v>
      </c>
      <c r="X69" s="129">
        <v>7.32</v>
      </c>
      <c r="Y69" s="98">
        <v>19</v>
      </c>
      <c r="Z69" s="98">
        <v>7.6000000000000014</v>
      </c>
      <c r="AA69" s="129">
        <v>13.3</v>
      </c>
      <c r="AB69" s="98">
        <v>0.77</v>
      </c>
      <c r="AC69" s="131">
        <v>0.76923076923076916</v>
      </c>
      <c r="AD69" s="131">
        <v>0.76923076923076916</v>
      </c>
      <c r="AE69" s="98">
        <v>1292</v>
      </c>
      <c r="AF69" s="129"/>
      <c r="AG69" s="98"/>
      <c r="AH69" s="98"/>
      <c r="AI69" s="98"/>
      <c r="AJ69" s="98" t="s">
        <v>255</v>
      </c>
      <c r="AK69" s="133">
        <f t="shared" si="0"/>
        <v>1.8169398907103826</v>
      </c>
      <c r="AL69" s="134">
        <f t="shared" si="1"/>
        <v>62.974352397255629</v>
      </c>
      <c r="AM69" s="135">
        <f t="shared" si="2"/>
        <v>0.62431693989071035</v>
      </c>
      <c r="AN69" s="135"/>
      <c r="AO69" s="98"/>
      <c r="AP69" s="136"/>
      <c r="AQ69" s="98"/>
      <c r="AR69" s="98"/>
      <c r="AS69" s="98"/>
      <c r="AT69" s="98"/>
      <c r="AU69" s="98"/>
      <c r="AV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c r="CU69" s="98"/>
      <c r="CV69" s="98"/>
      <c r="CW69" s="98"/>
      <c r="CX69" s="98"/>
      <c r="CY69" s="98"/>
      <c r="CZ69" s="98"/>
      <c r="DA69" s="98"/>
      <c r="DB69" s="98"/>
      <c r="DC69" s="98"/>
      <c r="DD69" s="98"/>
      <c r="DE69" s="98"/>
      <c r="DF69" s="98"/>
      <c r="DG69" s="98"/>
      <c r="DH69" s="98"/>
      <c r="DI69" s="98"/>
      <c r="DJ69" s="98"/>
      <c r="DK69" s="98"/>
      <c r="DL69" s="98"/>
      <c r="DM69" s="98"/>
      <c r="DN69" s="98"/>
      <c r="DO69" s="98"/>
      <c r="DP69" s="98"/>
      <c r="DQ69" s="98"/>
      <c r="DR69" s="98"/>
      <c r="DS69" s="98"/>
      <c r="DT69" s="98"/>
      <c r="DU69" s="98"/>
      <c r="DV69" s="98"/>
      <c r="DW69" s="98"/>
      <c r="DX69" s="98"/>
      <c r="DY69" s="98"/>
      <c r="DZ69" s="98"/>
      <c r="EA69" s="98"/>
      <c r="EB69" s="98"/>
      <c r="EC69" s="98"/>
      <c r="ED69" s="98"/>
      <c r="EE69" s="98"/>
      <c r="EF69" s="98"/>
      <c r="EG69" s="98"/>
      <c r="EH69" s="98"/>
      <c r="EI69" s="98"/>
      <c r="EJ69" s="98"/>
      <c r="EK69" s="98"/>
      <c r="EL69" s="98"/>
      <c r="EM69" s="98"/>
      <c r="EN69" s="98"/>
      <c r="EO69" s="98"/>
      <c r="EP69" s="98"/>
      <c r="EQ69" s="98"/>
      <c r="ER69" s="98"/>
      <c r="ES69" s="98"/>
      <c r="ET69" s="98"/>
      <c r="EU69" s="98"/>
      <c r="EV69" s="98"/>
      <c r="EW69" s="98"/>
      <c r="EX69" s="98"/>
      <c r="EY69" s="98"/>
      <c r="EZ69" s="98"/>
      <c r="FA69" s="98"/>
      <c r="FB69" s="98"/>
      <c r="FC69" s="98"/>
      <c r="FD69" s="98"/>
      <c r="FE69" s="98"/>
      <c r="FF69" s="98"/>
      <c r="FG69" s="98"/>
      <c r="FH69" s="98"/>
      <c r="FI69" s="98"/>
      <c r="FJ69" s="98"/>
      <c r="FK69" s="98"/>
      <c r="FL69" s="98"/>
      <c r="FM69" s="98"/>
      <c r="FN69" s="98"/>
      <c r="FO69" s="98"/>
      <c r="FP69" s="98"/>
      <c r="FQ69" s="98"/>
      <c r="FR69" s="98"/>
      <c r="FS69" s="98"/>
      <c r="FT69" s="98"/>
      <c r="FU69" s="98"/>
      <c r="FV69" s="98"/>
      <c r="FW69" s="98"/>
      <c r="FX69" s="98"/>
      <c r="FY69" s="98"/>
      <c r="FZ69" s="98"/>
      <c r="GA69" s="98"/>
      <c r="GB69" s="98"/>
      <c r="GC69" s="98"/>
      <c r="GD69" s="98"/>
      <c r="GE69" s="98"/>
      <c r="GF69" s="98"/>
      <c r="GG69" s="98"/>
      <c r="GH69" s="98"/>
      <c r="GI69" s="98"/>
      <c r="GJ69" s="98"/>
      <c r="GK69" s="98"/>
      <c r="GL69" s="98"/>
      <c r="GM69" s="98"/>
    </row>
    <row r="70" spans="1:195">
      <c r="A70" s="100">
        <v>346</v>
      </c>
      <c r="B70" s="98">
        <v>91</v>
      </c>
      <c r="C70" s="98" t="s">
        <v>355</v>
      </c>
      <c r="D70" s="126" t="s">
        <v>235</v>
      </c>
      <c r="E70" s="98">
        <v>1966</v>
      </c>
      <c r="F70" s="98">
        <v>1977</v>
      </c>
      <c r="G70" s="98" t="s">
        <v>9</v>
      </c>
      <c r="H70" s="98" t="s">
        <v>8</v>
      </c>
      <c r="I70" s="98">
        <v>35.049999999999997</v>
      </c>
      <c r="J70" s="98"/>
      <c r="K70" s="98"/>
      <c r="L70" s="98"/>
      <c r="M70" s="98"/>
      <c r="N70" s="98"/>
      <c r="O70" s="98"/>
      <c r="P70" s="127">
        <v>25900000</v>
      </c>
      <c r="Q70" s="128"/>
      <c r="R70" s="98">
        <v>7200</v>
      </c>
      <c r="S70" s="97" t="s">
        <v>275</v>
      </c>
      <c r="T70" s="139">
        <v>71541947</v>
      </c>
      <c r="U70" s="158">
        <v>38.4</v>
      </c>
      <c r="V70" s="127">
        <v>2747210764.7999997</v>
      </c>
      <c r="W70" s="130" t="s">
        <v>238</v>
      </c>
      <c r="X70" s="129">
        <v>35</v>
      </c>
      <c r="Y70" s="98"/>
      <c r="Z70" s="98"/>
      <c r="AA70" s="129">
        <v>168</v>
      </c>
      <c r="AB70" s="98"/>
      <c r="AC70" s="131"/>
      <c r="AD70" s="131"/>
      <c r="AE70" s="98">
        <v>440384</v>
      </c>
      <c r="AF70" s="129"/>
      <c r="AG70" s="98">
        <v>2</v>
      </c>
      <c r="AH70" s="98">
        <v>2</v>
      </c>
      <c r="AI70" s="98"/>
      <c r="AJ70" s="98" t="s">
        <v>276</v>
      </c>
      <c r="AK70" s="133">
        <f t="shared" si="0"/>
        <v>4.8</v>
      </c>
      <c r="AL70" s="134">
        <f t="shared" si="1"/>
        <v>1668.6168396501457</v>
      </c>
      <c r="AM70" s="135">
        <f t="shared" si="2"/>
        <v>1.0971428571428572</v>
      </c>
      <c r="AN70" s="135"/>
      <c r="AO70" s="98"/>
      <c r="AP70" s="136"/>
      <c r="AQ70" s="98"/>
      <c r="AR70" s="98"/>
      <c r="AS70" s="98"/>
      <c r="AT70" s="98"/>
      <c r="AU70" s="98"/>
      <c r="AV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c r="CU70" s="98"/>
      <c r="CV70" s="98"/>
      <c r="CW70" s="98"/>
      <c r="CX70" s="98"/>
      <c r="CY70" s="98"/>
      <c r="CZ70" s="98"/>
      <c r="DA70" s="98"/>
      <c r="DB70" s="98"/>
      <c r="DC70" s="98"/>
      <c r="DD70" s="98"/>
      <c r="DE70" s="98"/>
      <c r="DF70" s="98"/>
      <c r="DG70" s="98"/>
      <c r="DH70" s="98"/>
      <c r="DI70" s="98"/>
      <c r="DJ70" s="98"/>
      <c r="DK70" s="98"/>
      <c r="DL70" s="98"/>
      <c r="DM70" s="98"/>
      <c r="DN70" s="98"/>
      <c r="DO70" s="98"/>
      <c r="DP70" s="98"/>
      <c r="DQ70" s="98"/>
      <c r="DR70" s="98"/>
      <c r="DS70" s="98"/>
      <c r="DT70" s="98"/>
      <c r="DU70" s="98"/>
      <c r="DV70" s="98"/>
      <c r="DW70" s="98"/>
      <c r="DX70" s="98"/>
      <c r="DY70" s="98"/>
      <c r="DZ70" s="98"/>
      <c r="EA70" s="98"/>
      <c r="EB70" s="98"/>
      <c r="EC70" s="98"/>
      <c r="ED70" s="98"/>
      <c r="EE70" s="98"/>
      <c r="EF70" s="98"/>
      <c r="EG70" s="98"/>
      <c r="EH70" s="98"/>
      <c r="EI70" s="98"/>
      <c r="EJ70" s="98"/>
      <c r="EK70" s="98"/>
      <c r="EL70" s="98"/>
      <c r="EM70" s="98"/>
      <c r="EN70" s="98"/>
      <c r="EO70" s="98"/>
      <c r="EP70" s="98"/>
      <c r="EQ70" s="98"/>
      <c r="ER70" s="98"/>
      <c r="ES70" s="98"/>
      <c r="ET70" s="98"/>
      <c r="EU70" s="98"/>
      <c r="EV70" s="98"/>
      <c r="EW70" s="98"/>
      <c r="EX70" s="98"/>
      <c r="EY70" s="98"/>
      <c r="EZ70" s="98"/>
      <c r="FA70" s="98"/>
      <c r="FB70" s="98"/>
      <c r="FC70" s="98"/>
      <c r="FD70" s="98"/>
      <c r="FE70" s="98"/>
      <c r="FF70" s="98"/>
      <c r="FG70" s="98"/>
      <c r="FH70" s="98"/>
      <c r="FI70" s="98"/>
      <c r="FJ70" s="98"/>
      <c r="FK70" s="98"/>
      <c r="FL70" s="98"/>
      <c r="FM70" s="98"/>
      <c r="FN70" s="98"/>
      <c r="FO70" s="98"/>
      <c r="FP70" s="98"/>
      <c r="FQ70" s="98"/>
      <c r="FR70" s="98"/>
      <c r="FS70" s="98"/>
      <c r="FT70" s="98"/>
      <c r="FU70" s="98"/>
      <c r="FV70" s="98"/>
      <c r="FW70" s="98"/>
      <c r="FX70" s="98"/>
      <c r="FY70" s="98"/>
      <c r="FZ70" s="98"/>
      <c r="GA70" s="98"/>
      <c r="GB70" s="98"/>
      <c r="GC70" s="98"/>
      <c r="GD70" s="98"/>
      <c r="GE70" s="98"/>
      <c r="GF70" s="98"/>
      <c r="GG70" s="98"/>
      <c r="GH70" s="98"/>
      <c r="GI70" s="98"/>
      <c r="GJ70" s="98"/>
      <c r="GK70" s="98"/>
      <c r="GL70" s="98"/>
      <c r="GM70" s="98"/>
    </row>
    <row r="71" spans="1:195">
      <c r="A71" s="100">
        <v>358</v>
      </c>
      <c r="B71" s="98">
        <v>93</v>
      </c>
      <c r="C71" s="98" t="s">
        <v>356</v>
      </c>
      <c r="D71" s="126" t="s">
        <v>235</v>
      </c>
      <c r="E71" s="98"/>
      <c r="F71" s="98">
        <v>1921</v>
      </c>
      <c r="G71" s="98" t="s">
        <v>9</v>
      </c>
      <c r="H71" s="98" t="s">
        <v>357</v>
      </c>
      <c r="I71" s="98">
        <v>30.5</v>
      </c>
      <c r="J71" s="98">
        <v>4.5999999999999996</v>
      </c>
      <c r="K71" s="98"/>
      <c r="L71" s="98">
        <v>80.8</v>
      </c>
      <c r="M71" s="98">
        <v>3</v>
      </c>
      <c r="N71" s="98">
        <v>2</v>
      </c>
      <c r="O71" s="98">
        <v>335.3</v>
      </c>
      <c r="P71" s="127">
        <v>3920000</v>
      </c>
      <c r="Q71" s="128"/>
      <c r="R71" s="98">
        <v>4500</v>
      </c>
      <c r="S71" s="97" t="s">
        <v>358</v>
      </c>
      <c r="T71" s="129">
        <v>4440000</v>
      </c>
      <c r="U71" s="129">
        <v>30.5</v>
      </c>
      <c r="V71" s="127">
        <v>135420000</v>
      </c>
      <c r="W71" s="130" t="s">
        <v>238</v>
      </c>
      <c r="X71" s="129">
        <v>30.5</v>
      </c>
      <c r="Y71" s="98">
        <v>210</v>
      </c>
      <c r="Z71" s="98">
        <v>64</v>
      </c>
      <c r="AA71" s="129">
        <v>137</v>
      </c>
      <c r="AB71" s="98">
        <v>2.25</v>
      </c>
      <c r="AC71" s="131"/>
      <c r="AD71" s="131"/>
      <c r="AE71" s="98">
        <v>226996</v>
      </c>
      <c r="AF71" s="129">
        <v>0.5</v>
      </c>
      <c r="AG71" s="98">
        <v>0.5</v>
      </c>
      <c r="AH71" s="98">
        <v>0.5</v>
      </c>
      <c r="AI71" s="98">
        <v>0.5</v>
      </c>
      <c r="AJ71" s="98" t="s">
        <v>359</v>
      </c>
      <c r="AK71" s="133">
        <f t="shared" si="0"/>
        <v>4.4918032786885247</v>
      </c>
      <c r="AL71" s="134">
        <f t="shared" si="1"/>
        <v>156.48886911239268</v>
      </c>
      <c r="AM71" s="135">
        <f t="shared" si="2"/>
        <v>1</v>
      </c>
      <c r="AN71" s="135">
        <f>3600*AF71*SQRT(9.81/X71)</f>
        <v>1020.8386137925211</v>
      </c>
      <c r="AO71" s="98"/>
      <c r="AP71" s="136"/>
      <c r="AQ71" s="98"/>
      <c r="AR71" s="98"/>
      <c r="AS71" s="98"/>
      <c r="AT71" s="98"/>
      <c r="AU71" s="98"/>
      <c r="AV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c r="CU71" s="98"/>
      <c r="CV71" s="98"/>
      <c r="CW71" s="98"/>
      <c r="CX71" s="98"/>
      <c r="CY71" s="98"/>
      <c r="CZ71" s="98"/>
      <c r="DA71" s="98"/>
      <c r="DB71" s="98"/>
      <c r="DC71" s="98"/>
      <c r="DD71" s="98"/>
      <c r="DE71" s="98"/>
      <c r="DF71" s="98"/>
      <c r="DG71" s="98"/>
      <c r="DH71" s="98"/>
      <c r="DI71" s="98"/>
      <c r="DJ71" s="98"/>
      <c r="DK71" s="98"/>
      <c r="DL71" s="98"/>
      <c r="DM71" s="98"/>
      <c r="DN71" s="98"/>
      <c r="DO71" s="98"/>
      <c r="DP71" s="98"/>
      <c r="DQ71" s="98"/>
      <c r="DR71" s="98"/>
      <c r="DS71" s="98"/>
      <c r="DT71" s="98"/>
      <c r="DU71" s="98"/>
      <c r="DV71" s="98"/>
      <c r="DW71" s="98"/>
      <c r="DX71" s="98"/>
      <c r="DY71" s="98"/>
      <c r="DZ71" s="98"/>
      <c r="EA71" s="98"/>
      <c r="EB71" s="98"/>
      <c r="EC71" s="98"/>
      <c r="ED71" s="98"/>
      <c r="EE71" s="98"/>
      <c r="EF71" s="98"/>
      <c r="EG71" s="98"/>
      <c r="EH71" s="98"/>
      <c r="EI71" s="98"/>
      <c r="EJ71" s="98"/>
      <c r="EK71" s="98"/>
      <c r="EL71" s="98"/>
      <c r="EM71" s="98"/>
      <c r="EN71" s="98"/>
      <c r="EO71" s="98"/>
      <c r="EP71" s="98"/>
      <c r="EQ71" s="98"/>
      <c r="ER71" s="98"/>
      <c r="ES71" s="98"/>
      <c r="ET71" s="98"/>
      <c r="EU71" s="98"/>
      <c r="EV71" s="98"/>
      <c r="EW71" s="98"/>
      <c r="EX71" s="98"/>
      <c r="EY71" s="98"/>
      <c r="EZ71" s="98"/>
      <c r="FA71" s="98"/>
      <c r="FB71" s="98"/>
      <c r="FC71" s="98"/>
      <c r="FD71" s="98"/>
      <c r="FE71" s="98"/>
      <c r="FF71" s="98"/>
      <c r="FG71" s="98"/>
      <c r="FH71" s="98"/>
      <c r="FI71" s="98"/>
      <c r="FJ71" s="98"/>
      <c r="FK71" s="98"/>
      <c r="FL71" s="98"/>
      <c r="FM71" s="98"/>
      <c r="FN71" s="98"/>
      <c r="FO71" s="98"/>
      <c r="FP71" s="98"/>
      <c r="FQ71" s="98"/>
      <c r="FR71" s="98"/>
      <c r="FS71" s="98"/>
      <c r="FT71" s="98"/>
      <c r="FU71" s="98"/>
      <c r="FV71" s="98"/>
      <c r="FW71" s="98"/>
      <c r="FX71" s="98"/>
      <c r="FY71" s="98"/>
      <c r="FZ71" s="98"/>
      <c r="GA71" s="98"/>
      <c r="GB71" s="98"/>
      <c r="GC71" s="98"/>
      <c r="GD71" s="98"/>
      <c r="GE71" s="98"/>
      <c r="GF71" s="98"/>
      <c r="GG71" s="98"/>
      <c r="GH71" s="98"/>
      <c r="GI71" s="98"/>
      <c r="GJ71" s="98"/>
      <c r="GK71" s="98"/>
      <c r="GL71" s="98"/>
      <c r="GM71" s="98"/>
    </row>
    <row r="72" spans="1:195">
      <c r="A72" s="100">
        <v>360</v>
      </c>
      <c r="B72" s="98">
        <v>94</v>
      </c>
      <c r="C72" s="98" t="s">
        <v>360</v>
      </c>
      <c r="D72" s="126" t="s">
        <v>235</v>
      </c>
      <c r="E72" s="98"/>
      <c r="F72" s="98"/>
      <c r="G72" s="98" t="s">
        <v>15</v>
      </c>
      <c r="H72" s="98"/>
      <c r="I72" s="98"/>
      <c r="J72" s="98"/>
      <c r="K72" s="98"/>
      <c r="L72" s="98">
        <v>39.299999999999997</v>
      </c>
      <c r="M72" s="98"/>
      <c r="N72" s="98"/>
      <c r="O72" s="98"/>
      <c r="P72" s="127"/>
      <c r="Q72" s="128"/>
      <c r="R72" s="98"/>
      <c r="S72" s="97"/>
      <c r="T72" s="129">
        <v>86000</v>
      </c>
      <c r="U72" s="129">
        <v>10.4</v>
      </c>
      <c r="V72" s="127">
        <v>894400</v>
      </c>
      <c r="W72" s="130"/>
      <c r="X72" s="129">
        <v>11.9</v>
      </c>
      <c r="Y72" s="98">
        <v>15</v>
      </c>
      <c r="Z72" s="98">
        <v>15</v>
      </c>
      <c r="AA72" s="129">
        <v>15</v>
      </c>
      <c r="AB72" s="98">
        <v>0</v>
      </c>
      <c r="AC72" s="131"/>
      <c r="AD72" s="131"/>
      <c r="AE72" s="98">
        <v>7015.0499999999993</v>
      </c>
      <c r="AF72" s="129"/>
      <c r="AG72" s="98"/>
      <c r="AH72" s="98"/>
      <c r="AI72" s="98"/>
      <c r="AJ72" s="98" t="s">
        <v>248</v>
      </c>
      <c r="AK72" s="133">
        <f t="shared" si="0"/>
        <v>1.2605042016806722</v>
      </c>
      <c r="AL72" s="134">
        <f t="shared" si="1"/>
        <v>51.033760019084248</v>
      </c>
      <c r="AM72" s="135">
        <f t="shared" si="2"/>
        <v>0.87394957983193278</v>
      </c>
      <c r="AN72" s="135"/>
      <c r="AO72" s="98"/>
      <c r="AP72" s="136"/>
      <c r="AQ72" s="98"/>
      <c r="AR72" s="98"/>
      <c r="AS72" s="98"/>
      <c r="AT72" s="98"/>
      <c r="AU72" s="98"/>
      <c r="AV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c r="CU72" s="98"/>
      <c r="CV72" s="98"/>
      <c r="CW72" s="98"/>
      <c r="CX72" s="98"/>
      <c r="CY72" s="98"/>
      <c r="CZ72" s="98"/>
      <c r="DA72" s="98"/>
      <c r="DB72" s="98"/>
      <c r="DC72" s="98"/>
      <c r="DD72" s="98"/>
      <c r="DE72" s="98"/>
      <c r="DF72" s="98"/>
      <c r="DG72" s="98"/>
      <c r="DH72" s="98"/>
      <c r="DI72" s="98"/>
      <c r="DJ72" s="98"/>
      <c r="DK72" s="98"/>
      <c r="DL72" s="98"/>
      <c r="DM72" s="98"/>
      <c r="DN72" s="98"/>
      <c r="DO72" s="98"/>
      <c r="DP72" s="98"/>
      <c r="DQ72" s="98"/>
      <c r="DR72" s="98"/>
      <c r="DS72" s="98"/>
      <c r="DT72" s="98"/>
      <c r="DU72" s="98"/>
      <c r="DV72" s="98"/>
      <c r="DW72" s="98"/>
      <c r="DX72" s="98"/>
      <c r="DY72" s="98"/>
      <c r="DZ72" s="98"/>
      <c r="EA72" s="98"/>
      <c r="EB72" s="98"/>
      <c r="EC72" s="98"/>
      <c r="ED72" s="98"/>
      <c r="EE72" s="98"/>
      <c r="EF72" s="98"/>
      <c r="EG72" s="98"/>
      <c r="EH72" s="98"/>
      <c r="EI72" s="98"/>
      <c r="EJ72" s="98"/>
      <c r="EK72" s="98"/>
      <c r="EL72" s="98"/>
      <c r="EM72" s="98"/>
      <c r="EN72" s="98"/>
      <c r="EO72" s="98"/>
      <c r="EP72" s="98"/>
      <c r="EQ72" s="98"/>
      <c r="ER72" s="98"/>
      <c r="ES72" s="98"/>
      <c r="ET72" s="98"/>
      <c r="EU72" s="98"/>
      <c r="EV72" s="98"/>
      <c r="EW72" s="98"/>
      <c r="EX72" s="98"/>
      <c r="EY72" s="98"/>
      <c r="EZ72" s="98"/>
      <c r="FA72" s="98"/>
      <c r="FB72" s="98"/>
      <c r="FC72" s="98"/>
      <c r="FD72" s="98"/>
      <c r="FE72" s="98"/>
      <c r="FF72" s="98"/>
      <c r="FG72" s="98"/>
      <c r="FH72" s="98"/>
      <c r="FI72" s="98"/>
      <c r="FJ72" s="98"/>
      <c r="FK72" s="98"/>
      <c r="FL72" s="98"/>
      <c r="FM72" s="98"/>
      <c r="FN72" s="98"/>
      <c r="FO72" s="98"/>
      <c r="FP72" s="98"/>
      <c r="FQ72" s="98"/>
      <c r="FR72" s="98"/>
      <c r="FS72" s="98"/>
      <c r="FT72" s="98"/>
      <c r="FU72" s="98"/>
      <c r="FV72" s="98"/>
      <c r="FW72" s="98"/>
      <c r="FX72" s="98"/>
      <c r="FY72" s="98"/>
      <c r="FZ72" s="98"/>
      <c r="GA72" s="98"/>
      <c r="GB72" s="98"/>
      <c r="GC72" s="98"/>
      <c r="GD72" s="98"/>
      <c r="GE72" s="98"/>
      <c r="GF72" s="98"/>
      <c r="GG72" s="98"/>
      <c r="GH72" s="98"/>
      <c r="GI72" s="98"/>
      <c r="GJ72" s="98"/>
      <c r="GK72" s="98"/>
      <c r="GL72" s="98"/>
      <c r="GM72" s="98"/>
    </row>
    <row r="73" spans="1:195">
      <c r="A73" s="100">
        <v>363</v>
      </c>
      <c r="B73" s="98">
        <v>95</v>
      </c>
      <c r="C73" s="98" t="s">
        <v>361</v>
      </c>
      <c r="D73" s="126" t="s">
        <v>235</v>
      </c>
      <c r="E73" s="98">
        <v>1969</v>
      </c>
      <c r="F73" s="98">
        <v>1970</v>
      </c>
      <c r="G73" s="98" t="s">
        <v>250</v>
      </c>
      <c r="H73" s="98" t="s">
        <v>8</v>
      </c>
      <c r="I73" s="98">
        <v>17.07</v>
      </c>
      <c r="J73" s="98">
        <v>6.1</v>
      </c>
      <c r="K73" s="98"/>
      <c r="L73" s="98"/>
      <c r="M73" s="98">
        <v>3</v>
      </c>
      <c r="N73" s="98">
        <v>2</v>
      </c>
      <c r="O73" s="98"/>
      <c r="P73" s="127">
        <v>1430000</v>
      </c>
      <c r="Q73" s="128">
        <v>343982.795904</v>
      </c>
      <c r="R73" s="98"/>
      <c r="S73" s="97"/>
      <c r="T73" s="139">
        <v>2911017</v>
      </c>
      <c r="U73" s="158">
        <v>14.02</v>
      </c>
      <c r="V73" s="127">
        <v>40812458.339999996</v>
      </c>
      <c r="W73" s="130" t="s">
        <v>238</v>
      </c>
      <c r="X73" s="129">
        <v>17.100000000000001</v>
      </c>
      <c r="Y73" s="98">
        <v>30.5</v>
      </c>
      <c r="Z73" s="98">
        <v>13.5</v>
      </c>
      <c r="AA73" s="129">
        <v>22</v>
      </c>
      <c r="AB73" s="98">
        <v>0.5</v>
      </c>
      <c r="AC73" s="131">
        <v>0.5</v>
      </c>
      <c r="AD73" s="131">
        <v>0.5</v>
      </c>
      <c r="AE73" s="98">
        <v>18273</v>
      </c>
      <c r="AF73" s="129"/>
      <c r="AG73" s="98"/>
      <c r="AH73" s="98"/>
      <c r="AI73" s="98"/>
      <c r="AJ73" s="98" t="s">
        <v>276</v>
      </c>
      <c r="AK73" s="133">
        <f t="shared" ref="AK73:AK84" si="3">AA73/X73</f>
        <v>1.2865497076023391</v>
      </c>
      <c r="AL73" s="134">
        <f t="shared" ref="AL73:AL84" si="4">T73/(X73^3)</f>
        <v>582.17883205328724</v>
      </c>
      <c r="AM73" s="135">
        <f t="shared" ref="AM73:AM84" si="5">U73/X73</f>
        <v>0.81988304093567244</v>
      </c>
      <c r="AN73" s="135"/>
      <c r="AO73" s="98"/>
      <c r="AP73" s="136"/>
      <c r="AQ73" s="98"/>
      <c r="AR73" s="98"/>
      <c r="AS73" s="98"/>
      <c r="AT73" s="98"/>
      <c r="AU73" s="98"/>
      <c r="AV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c r="CU73" s="98"/>
      <c r="CV73" s="98"/>
      <c r="CW73" s="98"/>
      <c r="CX73" s="98"/>
      <c r="CY73" s="98"/>
      <c r="CZ73" s="98"/>
      <c r="DA73" s="98"/>
      <c r="DB73" s="98"/>
      <c r="DC73" s="98"/>
      <c r="DD73" s="98"/>
      <c r="DE73" s="98"/>
      <c r="DF73" s="98"/>
      <c r="DG73" s="98"/>
      <c r="DH73" s="98"/>
      <c r="DI73" s="98"/>
      <c r="DJ73" s="98"/>
      <c r="DK73" s="98"/>
      <c r="DL73" s="98"/>
      <c r="DM73" s="98"/>
      <c r="DN73" s="98"/>
      <c r="DO73" s="98"/>
      <c r="DP73" s="98"/>
      <c r="DQ73" s="98"/>
      <c r="DR73" s="98"/>
      <c r="DS73" s="98"/>
      <c r="DT73" s="98"/>
      <c r="DU73" s="98"/>
      <c r="DV73" s="98"/>
      <c r="DW73" s="98"/>
      <c r="DX73" s="98"/>
      <c r="DY73" s="98"/>
      <c r="DZ73" s="98"/>
      <c r="EA73" s="98"/>
      <c r="EB73" s="98"/>
      <c r="EC73" s="98"/>
      <c r="ED73" s="98"/>
      <c r="EE73" s="98"/>
      <c r="EF73" s="98"/>
      <c r="EG73" s="98"/>
      <c r="EH73" s="98"/>
      <c r="EI73" s="98"/>
      <c r="EJ73" s="98"/>
      <c r="EK73" s="98"/>
      <c r="EL73" s="98"/>
      <c r="EM73" s="98"/>
      <c r="EN73" s="98"/>
      <c r="EO73" s="98"/>
      <c r="EP73" s="98"/>
      <c r="EQ73" s="98"/>
      <c r="ER73" s="98"/>
      <c r="ES73" s="98"/>
      <c r="ET73" s="98"/>
      <c r="EU73" s="98"/>
      <c r="EV73" s="98"/>
      <c r="EW73" s="98"/>
      <c r="EX73" s="98"/>
      <c r="EY73" s="98"/>
      <c r="EZ73" s="98"/>
      <c r="FA73" s="98"/>
      <c r="FB73" s="98"/>
      <c r="FC73" s="98"/>
      <c r="FD73" s="98"/>
      <c r="FE73" s="98"/>
      <c r="FF73" s="98"/>
      <c r="FG73" s="98"/>
      <c r="FH73" s="98"/>
      <c r="FI73" s="98"/>
      <c r="FJ73" s="98"/>
      <c r="FK73" s="98"/>
      <c r="FL73" s="98"/>
      <c r="FM73" s="98"/>
      <c r="FN73" s="98"/>
      <c r="FO73" s="98"/>
      <c r="FP73" s="98"/>
      <c r="FQ73" s="98"/>
      <c r="FR73" s="98"/>
      <c r="FS73" s="98"/>
      <c r="FT73" s="98"/>
      <c r="FU73" s="98"/>
      <c r="FV73" s="98"/>
      <c r="FW73" s="98"/>
      <c r="FX73" s="98"/>
      <c r="FY73" s="98"/>
      <c r="FZ73" s="98"/>
      <c r="GA73" s="98"/>
      <c r="GB73" s="98"/>
      <c r="GC73" s="98"/>
      <c r="GD73" s="98"/>
      <c r="GE73" s="98"/>
      <c r="GF73" s="98"/>
      <c r="GG73" s="98"/>
      <c r="GH73" s="98"/>
      <c r="GI73" s="98"/>
      <c r="GJ73" s="98"/>
      <c r="GK73" s="98"/>
      <c r="GL73" s="98"/>
      <c r="GM73" s="98"/>
    </row>
    <row r="74" spans="1:195">
      <c r="A74" s="100">
        <v>369</v>
      </c>
      <c r="B74" s="98">
        <v>97</v>
      </c>
      <c r="C74" s="98" t="s">
        <v>362</v>
      </c>
      <c r="D74" s="126" t="s">
        <v>235</v>
      </c>
      <c r="E74" s="98">
        <v>1910</v>
      </c>
      <c r="F74" s="98">
        <v>1943</v>
      </c>
      <c r="G74" s="98" t="s">
        <v>250</v>
      </c>
      <c r="H74" s="98" t="s">
        <v>8</v>
      </c>
      <c r="I74" s="98">
        <v>21.34</v>
      </c>
      <c r="J74" s="98"/>
      <c r="K74" s="98"/>
      <c r="L74" s="98"/>
      <c r="M74" s="98"/>
      <c r="N74" s="98"/>
      <c r="O74" s="98"/>
      <c r="P74" s="127">
        <v>3330000</v>
      </c>
      <c r="Q74" s="128"/>
      <c r="R74" s="98"/>
      <c r="S74" s="97"/>
      <c r="T74" s="139">
        <v>3330401</v>
      </c>
      <c r="U74" s="158">
        <v>21.34</v>
      </c>
      <c r="V74" s="127">
        <v>71070757.340000004</v>
      </c>
      <c r="W74" s="130" t="s">
        <v>238</v>
      </c>
      <c r="X74" s="129">
        <v>21.3</v>
      </c>
      <c r="Y74" s="98">
        <v>92</v>
      </c>
      <c r="Z74" s="98">
        <v>49.2</v>
      </c>
      <c r="AA74" s="129">
        <v>70.599999999999994</v>
      </c>
      <c r="AB74" s="98">
        <v>0.5</v>
      </c>
      <c r="AC74" s="98">
        <v>0.5</v>
      </c>
      <c r="AD74" s="98">
        <v>0.5</v>
      </c>
      <c r="AE74" s="98">
        <v>84101</v>
      </c>
      <c r="AF74" s="129"/>
      <c r="AG74" s="98">
        <v>2</v>
      </c>
      <c r="AH74" s="98">
        <v>2</v>
      </c>
      <c r="AI74" s="98"/>
      <c r="AJ74" s="98" t="s">
        <v>276</v>
      </c>
      <c r="AK74" s="133">
        <f t="shared" si="3"/>
        <v>3.3145539906103281</v>
      </c>
      <c r="AL74" s="134">
        <f t="shared" si="4"/>
        <v>344.63368039871688</v>
      </c>
      <c r="AM74" s="135">
        <f t="shared" si="5"/>
        <v>1.0018779342723003</v>
      </c>
      <c r="AN74" s="135"/>
      <c r="AO74" s="98"/>
      <c r="AP74" s="136"/>
      <c r="AQ74" s="98"/>
      <c r="AR74" s="98"/>
      <c r="AS74" s="98"/>
      <c r="AT74" s="98"/>
      <c r="AU74" s="98"/>
      <c r="AV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c r="CU74" s="98"/>
      <c r="CV74" s="98"/>
      <c r="CW74" s="98"/>
      <c r="CX74" s="98"/>
      <c r="CY74" s="98"/>
      <c r="CZ74" s="98"/>
      <c r="DA74" s="98"/>
      <c r="DB74" s="98"/>
      <c r="DC74" s="98"/>
      <c r="DD74" s="98"/>
      <c r="DE74" s="98"/>
      <c r="DF74" s="98"/>
      <c r="DG74" s="98"/>
      <c r="DH74" s="98"/>
      <c r="DI74" s="98"/>
      <c r="DJ74" s="98"/>
      <c r="DK74" s="98"/>
      <c r="DL74" s="98"/>
      <c r="DM74" s="98"/>
      <c r="DN74" s="98"/>
      <c r="DO74" s="98"/>
      <c r="DP74" s="98"/>
      <c r="DQ74" s="98"/>
      <c r="DR74" s="98"/>
      <c r="DS74" s="98"/>
      <c r="DT74" s="98"/>
      <c r="DU74" s="98"/>
      <c r="DV74" s="98"/>
      <c r="DW74" s="98"/>
      <c r="DX74" s="98"/>
      <c r="DY74" s="98"/>
      <c r="DZ74" s="98"/>
      <c r="EA74" s="98"/>
      <c r="EB74" s="98"/>
      <c r="EC74" s="98"/>
      <c r="ED74" s="98"/>
      <c r="EE74" s="98"/>
      <c r="EF74" s="98"/>
      <c r="EG74" s="98"/>
      <c r="EH74" s="98"/>
      <c r="EI74" s="98"/>
      <c r="EJ74" s="98"/>
      <c r="EK74" s="98"/>
      <c r="EL74" s="98"/>
      <c r="EM74" s="98"/>
      <c r="EN74" s="98"/>
      <c r="EO74" s="98"/>
      <c r="EP74" s="98"/>
      <c r="EQ74" s="98"/>
      <c r="ER74" s="98"/>
      <c r="ES74" s="98"/>
      <c r="ET74" s="98"/>
      <c r="EU74" s="98"/>
      <c r="EV74" s="98"/>
      <c r="EW74" s="98"/>
      <c r="EX74" s="98"/>
      <c r="EY74" s="98"/>
      <c r="EZ74" s="98"/>
      <c r="FA74" s="98"/>
      <c r="FB74" s="98"/>
      <c r="FC74" s="98"/>
      <c r="FD74" s="98"/>
      <c r="FE74" s="98"/>
      <c r="FF74" s="98"/>
      <c r="FG74" s="98"/>
      <c r="FH74" s="98"/>
      <c r="FI74" s="98"/>
      <c r="FJ74" s="98"/>
      <c r="FK74" s="98"/>
      <c r="FL74" s="98"/>
      <c r="FM74" s="98"/>
      <c r="FN74" s="98"/>
      <c r="FO74" s="98"/>
      <c r="FP74" s="98"/>
      <c r="FQ74" s="98"/>
      <c r="FR74" s="98"/>
      <c r="FS74" s="98"/>
      <c r="FT74" s="98"/>
      <c r="FU74" s="98"/>
      <c r="FV74" s="98"/>
      <c r="FW74" s="98"/>
      <c r="FX74" s="98"/>
      <c r="FY74" s="98"/>
      <c r="FZ74" s="98"/>
      <c r="GA74" s="98"/>
      <c r="GB74" s="98"/>
      <c r="GC74" s="98"/>
      <c r="GD74" s="98"/>
      <c r="GE74" s="98"/>
      <c r="GF74" s="98"/>
      <c r="GG74" s="98"/>
      <c r="GH74" s="98"/>
      <c r="GI74" s="98"/>
      <c r="GJ74" s="98"/>
      <c r="GK74" s="98"/>
      <c r="GL74" s="98"/>
      <c r="GM74" s="98"/>
    </row>
    <row r="75" spans="1:195">
      <c r="A75" s="100">
        <v>377</v>
      </c>
      <c r="B75" s="98">
        <v>99</v>
      </c>
      <c r="C75" s="98" t="s">
        <v>363</v>
      </c>
      <c r="D75" s="126" t="s">
        <v>235</v>
      </c>
      <c r="E75" s="98">
        <v>1887</v>
      </c>
      <c r="F75" s="98">
        <v>1889</v>
      </c>
      <c r="G75" s="98" t="s">
        <v>15</v>
      </c>
      <c r="H75" s="98" t="s">
        <v>364</v>
      </c>
      <c r="I75" s="98">
        <v>5.49</v>
      </c>
      <c r="J75" s="98">
        <v>2.4</v>
      </c>
      <c r="K75" s="98"/>
      <c r="L75" s="98"/>
      <c r="M75" s="98">
        <v>0.75</v>
      </c>
      <c r="N75" s="98">
        <v>0.75</v>
      </c>
      <c r="O75" s="98"/>
      <c r="P75" s="127">
        <v>135000</v>
      </c>
      <c r="Q75" s="128">
        <v>72843.415603200003</v>
      </c>
      <c r="R75" s="98"/>
      <c r="S75" s="97"/>
      <c r="T75" s="129">
        <v>136000</v>
      </c>
      <c r="U75" s="158">
        <v>5.49</v>
      </c>
      <c r="V75" s="127">
        <v>746640</v>
      </c>
      <c r="W75" s="130" t="s">
        <v>238</v>
      </c>
      <c r="X75" s="129">
        <v>5.49</v>
      </c>
      <c r="Y75" s="98">
        <v>20</v>
      </c>
      <c r="Z75" s="98">
        <v>9</v>
      </c>
      <c r="AA75" s="129">
        <v>14.5</v>
      </c>
      <c r="AB75" s="98">
        <v>1</v>
      </c>
      <c r="AC75" s="98">
        <v>0.5</v>
      </c>
      <c r="AD75" s="98">
        <v>0.5</v>
      </c>
      <c r="AE75" s="98">
        <v>612</v>
      </c>
      <c r="AF75" s="129"/>
      <c r="AG75" s="98"/>
      <c r="AH75" s="98"/>
      <c r="AI75" s="98"/>
      <c r="AJ75" s="98" t="s">
        <v>337</v>
      </c>
      <c r="AK75" s="133">
        <f t="shared" si="3"/>
        <v>2.6411657559198543</v>
      </c>
      <c r="AL75" s="134">
        <f t="shared" si="4"/>
        <v>821.90547798127602</v>
      </c>
      <c r="AM75" s="135">
        <f t="shared" si="5"/>
        <v>1</v>
      </c>
      <c r="AN75" s="135"/>
      <c r="AO75" s="98"/>
      <c r="AP75" s="136"/>
      <c r="AQ75" s="98"/>
      <c r="AR75" s="98"/>
      <c r="AS75" s="98"/>
      <c r="AT75" s="98"/>
      <c r="AU75" s="98"/>
      <c r="AV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c r="CU75" s="98"/>
      <c r="CV75" s="98"/>
      <c r="CW75" s="98"/>
      <c r="CX75" s="98"/>
      <c r="CY75" s="98"/>
      <c r="CZ75" s="98"/>
      <c r="DA75" s="98"/>
      <c r="DB75" s="98"/>
      <c r="DC75" s="98"/>
      <c r="DD75" s="98"/>
      <c r="DE75" s="98"/>
      <c r="DF75" s="98"/>
      <c r="DG75" s="98"/>
      <c r="DH75" s="98"/>
      <c r="DI75" s="98"/>
      <c r="DJ75" s="98"/>
      <c r="DK75" s="98"/>
      <c r="DL75" s="98"/>
      <c r="DM75" s="98"/>
      <c r="DN75" s="98"/>
      <c r="DO75" s="98"/>
      <c r="DP75" s="98"/>
      <c r="DQ75" s="98"/>
      <c r="DR75" s="98"/>
      <c r="DS75" s="98"/>
      <c r="DT75" s="98"/>
      <c r="DU75" s="98"/>
      <c r="DV75" s="98"/>
      <c r="DW75" s="98"/>
      <c r="DX75" s="98"/>
      <c r="DY75" s="98"/>
      <c r="DZ75" s="98"/>
      <c r="EA75" s="98"/>
      <c r="EB75" s="98"/>
      <c r="EC75" s="98"/>
      <c r="ED75" s="98"/>
      <c r="EE75" s="98"/>
      <c r="EF75" s="98"/>
      <c r="EG75" s="98"/>
      <c r="EH75" s="98"/>
      <c r="EI75" s="98"/>
      <c r="EJ75" s="98"/>
      <c r="EK75" s="98"/>
      <c r="EL75" s="98"/>
      <c r="EM75" s="98"/>
      <c r="EN75" s="98"/>
      <c r="EO75" s="98"/>
      <c r="EP75" s="98"/>
      <c r="EQ75" s="98"/>
      <c r="ER75" s="98"/>
      <c r="ES75" s="98"/>
      <c r="ET75" s="98"/>
      <c r="EU75" s="98"/>
      <c r="EV75" s="98"/>
      <c r="EW75" s="98"/>
      <c r="EX75" s="98"/>
      <c r="EY75" s="98"/>
      <c r="EZ75" s="98"/>
      <c r="FA75" s="98"/>
      <c r="FB75" s="98"/>
      <c r="FC75" s="98"/>
      <c r="FD75" s="98"/>
      <c r="FE75" s="98"/>
      <c r="FF75" s="98"/>
      <c r="FG75" s="98"/>
      <c r="FH75" s="98"/>
      <c r="FI75" s="98"/>
      <c r="FJ75" s="98"/>
      <c r="FK75" s="98"/>
      <c r="FL75" s="98"/>
      <c r="FM75" s="98"/>
      <c r="FN75" s="98"/>
      <c r="FO75" s="98"/>
      <c r="FP75" s="98"/>
      <c r="FQ75" s="98"/>
      <c r="FR75" s="98"/>
      <c r="FS75" s="98"/>
      <c r="FT75" s="98"/>
      <c r="FU75" s="98"/>
      <c r="FV75" s="98"/>
      <c r="FW75" s="98"/>
      <c r="FX75" s="98"/>
      <c r="FY75" s="98"/>
      <c r="FZ75" s="98"/>
      <c r="GA75" s="98"/>
      <c r="GB75" s="98"/>
      <c r="GC75" s="98"/>
      <c r="GD75" s="98"/>
      <c r="GE75" s="98"/>
      <c r="GF75" s="98"/>
      <c r="GG75" s="98"/>
      <c r="GH75" s="98"/>
      <c r="GI75" s="98"/>
      <c r="GJ75" s="98"/>
      <c r="GK75" s="98"/>
      <c r="GL75" s="98"/>
      <c r="GM75" s="98"/>
    </row>
    <row r="76" spans="1:195">
      <c r="A76" s="100">
        <v>379</v>
      </c>
      <c r="B76" s="98">
        <v>100</v>
      </c>
      <c r="C76" s="98" t="s">
        <v>365</v>
      </c>
      <c r="D76" s="126" t="s">
        <v>235</v>
      </c>
      <c r="E76" s="98">
        <v>1955</v>
      </c>
      <c r="F76" s="98">
        <v>1994</v>
      </c>
      <c r="G76" s="98" t="s">
        <v>9</v>
      </c>
      <c r="H76" s="98" t="s">
        <v>241</v>
      </c>
      <c r="I76" s="98"/>
      <c r="J76" s="98"/>
      <c r="K76" s="98"/>
      <c r="L76" s="98">
        <v>12.6</v>
      </c>
      <c r="M76" s="98"/>
      <c r="N76" s="98"/>
      <c r="O76" s="98"/>
      <c r="P76" s="127"/>
      <c r="Q76" s="128"/>
      <c r="R76" s="98"/>
      <c r="S76" s="97"/>
      <c r="T76" s="129">
        <v>564000</v>
      </c>
      <c r="U76" s="129">
        <v>5.55</v>
      </c>
      <c r="V76" s="127">
        <v>3130200</v>
      </c>
      <c r="W76" s="130"/>
      <c r="X76" s="129">
        <v>5.12</v>
      </c>
      <c r="Y76" s="98"/>
      <c r="Z76" s="98"/>
      <c r="AA76" s="171">
        <v>21</v>
      </c>
      <c r="AB76" s="98">
        <v>0.54</v>
      </c>
      <c r="AC76" s="98"/>
      <c r="AD76" s="98"/>
      <c r="AE76" s="98">
        <v>1354.752</v>
      </c>
      <c r="AF76" s="129"/>
      <c r="AG76" s="98"/>
      <c r="AH76" s="98"/>
      <c r="AI76" s="98"/>
      <c r="AJ76" s="98" t="s">
        <v>23</v>
      </c>
      <c r="AK76" s="133">
        <f t="shared" si="3"/>
        <v>4.1015625</v>
      </c>
      <c r="AL76" s="134">
        <f t="shared" si="4"/>
        <v>4202.1274566650382</v>
      </c>
      <c r="AM76" s="135">
        <f t="shared" si="5"/>
        <v>1.083984375</v>
      </c>
      <c r="AN76" s="135"/>
      <c r="AO76" s="98"/>
      <c r="AP76" s="136"/>
      <c r="AQ76" s="98"/>
      <c r="AR76" s="98"/>
      <c r="AS76" s="98"/>
      <c r="AT76" s="98"/>
      <c r="AU76" s="98"/>
      <c r="AV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c r="CU76" s="98"/>
      <c r="CV76" s="98"/>
      <c r="CW76" s="98"/>
      <c r="CX76" s="98"/>
      <c r="CY76" s="98"/>
      <c r="CZ76" s="98"/>
      <c r="DA76" s="98"/>
      <c r="DB76" s="98"/>
      <c r="DC76" s="98"/>
      <c r="DD76" s="98"/>
      <c r="DE76" s="98"/>
      <c r="DF76" s="98"/>
      <c r="DG76" s="98"/>
      <c r="DH76" s="98"/>
      <c r="DI76" s="98"/>
      <c r="DJ76" s="98"/>
      <c r="DK76" s="98"/>
      <c r="DL76" s="98"/>
      <c r="DM76" s="98"/>
      <c r="DN76" s="98"/>
      <c r="DO76" s="98"/>
      <c r="DP76" s="98"/>
      <c r="DQ76" s="98"/>
      <c r="DR76" s="98"/>
      <c r="DS76" s="98"/>
      <c r="DT76" s="98"/>
      <c r="DU76" s="98"/>
      <c r="DV76" s="98"/>
      <c r="DW76" s="98"/>
      <c r="DX76" s="98"/>
      <c r="DY76" s="98"/>
      <c r="DZ76" s="98"/>
      <c r="EA76" s="98"/>
      <c r="EB76" s="98"/>
      <c r="EC76" s="98"/>
      <c r="ED76" s="98"/>
      <c r="EE76" s="98"/>
      <c r="EF76" s="98"/>
      <c r="EG76" s="98"/>
      <c r="EH76" s="98"/>
      <c r="EI76" s="98"/>
      <c r="EJ76" s="98"/>
      <c r="EK76" s="98"/>
      <c r="EL76" s="98"/>
      <c r="EM76" s="98"/>
      <c r="EN76" s="98"/>
      <c r="EO76" s="98"/>
      <c r="EP76" s="98"/>
      <c r="EQ76" s="98"/>
      <c r="ER76" s="98"/>
      <c r="ES76" s="98"/>
      <c r="ET76" s="98"/>
      <c r="EU76" s="98"/>
      <c r="EV76" s="98"/>
      <c r="EW76" s="98"/>
      <c r="EX76" s="98"/>
      <c r="EY76" s="98"/>
      <c r="EZ76" s="98"/>
      <c r="FA76" s="98"/>
      <c r="FB76" s="98"/>
      <c r="FC76" s="98"/>
      <c r="FD76" s="98"/>
      <c r="FE76" s="98"/>
      <c r="FF76" s="98"/>
      <c r="FG76" s="98"/>
      <c r="FH76" s="98"/>
      <c r="FI76" s="98"/>
      <c r="FJ76" s="98"/>
      <c r="FK76" s="98"/>
      <c r="FL76" s="98"/>
      <c r="FM76" s="98"/>
      <c r="FN76" s="98"/>
      <c r="FO76" s="98"/>
      <c r="FP76" s="98"/>
      <c r="FQ76" s="98"/>
      <c r="FR76" s="98"/>
      <c r="FS76" s="98"/>
      <c r="FT76" s="98"/>
      <c r="FU76" s="98"/>
      <c r="FV76" s="98"/>
      <c r="FW76" s="98"/>
      <c r="FX76" s="98"/>
      <c r="FY76" s="98"/>
      <c r="FZ76" s="98"/>
      <c r="GA76" s="98"/>
      <c r="GB76" s="98"/>
      <c r="GC76" s="98"/>
      <c r="GD76" s="98"/>
      <c r="GE76" s="98"/>
      <c r="GF76" s="98"/>
      <c r="GG76" s="98"/>
      <c r="GH76" s="98"/>
      <c r="GI76" s="98"/>
      <c r="GJ76" s="98"/>
      <c r="GK76" s="98"/>
      <c r="GL76" s="98"/>
      <c r="GM76" s="98"/>
    </row>
    <row r="77" spans="1:195">
      <c r="A77" s="100">
        <v>384</v>
      </c>
      <c r="B77" s="98">
        <v>101</v>
      </c>
      <c r="C77" s="98" t="s">
        <v>366</v>
      </c>
      <c r="D77" s="126" t="s">
        <v>235</v>
      </c>
      <c r="E77" s="98">
        <v>1914</v>
      </c>
      <c r="F77" s="98">
        <v>1964</v>
      </c>
      <c r="G77" s="98" t="s">
        <v>9</v>
      </c>
      <c r="H77" s="98" t="s">
        <v>367</v>
      </c>
      <c r="I77" s="98">
        <v>57.61</v>
      </c>
      <c r="J77" s="98"/>
      <c r="K77" s="98"/>
      <c r="L77" s="98"/>
      <c r="M77" s="98"/>
      <c r="N77" s="98"/>
      <c r="O77" s="98">
        <v>225.6</v>
      </c>
      <c r="P77" s="127">
        <v>37004455.126425609</v>
      </c>
      <c r="Q77" s="128"/>
      <c r="R77" s="98">
        <v>24947</v>
      </c>
      <c r="S77" s="97" t="s">
        <v>368</v>
      </c>
      <c r="T77" s="139">
        <v>37004455</v>
      </c>
      <c r="U77" s="129">
        <v>47.8536</v>
      </c>
      <c r="V77" s="127">
        <v>1770796387.7880001</v>
      </c>
      <c r="W77" s="130" t="s">
        <v>238</v>
      </c>
      <c r="X77" s="129">
        <v>57.6</v>
      </c>
      <c r="Y77" s="98">
        <v>225</v>
      </c>
      <c r="Z77" s="98">
        <v>225</v>
      </c>
      <c r="AA77" s="129">
        <v>225</v>
      </c>
      <c r="AB77" s="98">
        <v>0</v>
      </c>
      <c r="AC77" s="131"/>
      <c r="AD77" s="131"/>
      <c r="AE77" s="98">
        <v>206430</v>
      </c>
      <c r="AF77" s="129"/>
      <c r="AG77" s="98" t="s">
        <v>267</v>
      </c>
      <c r="AH77" s="98">
        <v>0.25</v>
      </c>
      <c r="AI77" s="98"/>
      <c r="AJ77" s="98" t="s">
        <v>369</v>
      </c>
      <c r="AK77" s="133">
        <f t="shared" si="3"/>
        <v>3.90625</v>
      </c>
      <c r="AL77" s="134">
        <f t="shared" si="4"/>
        <v>193.63620480719251</v>
      </c>
      <c r="AM77" s="135">
        <f t="shared" si="5"/>
        <v>0.8307916666666666</v>
      </c>
      <c r="AN77" s="135"/>
      <c r="AO77" s="98"/>
      <c r="AP77" s="136"/>
      <c r="AQ77" s="98"/>
      <c r="AR77" s="98"/>
      <c r="AS77" s="98"/>
      <c r="AT77" s="98"/>
      <c r="AU77" s="98"/>
      <c r="AV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c r="CU77" s="98"/>
      <c r="CV77" s="98"/>
      <c r="CW77" s="98"/>
      <c r="CX77" s="98"/>
      <c r="CY77" s="98"/>
      <c r="CZ77" s="98"/>
      <c r="DA77" s="98"/>
      <c r="DB77" s="98"/>
      <c r="DC77" s="98"/>
      <c r="DD77" s="98"/>
      <c r="DE77" s="98"/>
      <c r="DF77" s="98"/>
      <c r="DG77" s="98"/>
      <c r="DH77" s="98"/>
      <c r="DI77" s="98"/>
      <c r="DJ77" s="98"/>
      <c r="DK77" s="98"/>
      <c r="DL77" s="98"/>
      <c r="DM77" s="98"/>
      <c r="DN77" s="98"/>
      <c r="DO77" s="98"/>
      <c r="DP77" s="98"/>
      <c r="DQ77" s="98"/>
      <c r="DR77" s="98"/>
      <c r="DS77" s="98"/>
      <c r="DT77" s="98"/>
      <c r="DU77" s="98"/>
      <c r="DV77" s="98"/>
      <c r="DW77" s="98"/>
      <c r="DX77" s="98"/>
      <c r="DY77" s="98"/>
      <c r="DZ77" s="98"/>
      <c r="EA77" s="98"/>
      <c r="EB77" s="98"/>
      <c r="EC77" s="98"/>
      <c r="ED77" s="98"/>
      <c r="EE77" s="98"/>
      <c r="EF77" s="98"/>
      <c r="EG77" s="98"/>
      <c r="EH77" s="98"/>
      <c r="EI77" s="98"/>
      <c r="EJ77" s="98"/>
      <c r="EK77" s="98"/>
      <c r="EL77" s="98"/>
      <c r="EM77" s="98"/>
      <c r="EN77" s="98"/>
      <c r="EO77" s="98"/>
      <c r="EP77" s="98"/>
      <c r="EQ77" s="98"/>
      <c r="ER77" s="98"/>
      <c r="ES77" s="98"/>
      <c r="ET77" s="98"/>
      <c r="EU77" s="98"/>
      <c r="EV77" s="98"/>
      <c r="EW77" s="98"/>
      <c r="EX77" s="98"/>
      <c r="EY77" s="98"/>
      <c r="EZ77" s="98"/>
      <c r="FA77" s="98"/>
      <c r="FB77" s="98"/>
      <c r="FC77" s="98"/>
      <c r="FD77" s="98"/>
      <c r="FE77" s="98"/>
      <c r="FF77" s="98"/>
      <c r="FG77" s="98"/>
      <c r="FH77" s="98"/>
      <c r="FI77" s="98"/>
      <c r="FJ77" s="98"/>
      <c r="FK77" s="98"/>
      <c r="FL77" s="98"/>
      <c r="FM77" s="98"/>
      <c r="FN77" s="98"/>
      <c r="FO77" s="98"/>
      <c r="FP77" s="98"/>
      <c r="FQ77" s="98"/>
      <c r="FR77" s="98"/>
      <c r="FS77" s="98"/>
      <c r="FT77" s="98"/>
      <c r="FU77" s="98"/>
      <c r="FV77" s="98"/>
      <c r="FW77" s="98"/>
      <c r="FX77" s="98"/>
      <c r="FY77" s="98"/>
      <c r="FZ77" s="98"/>
      <c r="GA77" s="98"/>
      <c r="GB77" s="98"/>
      <c r="GC77" s="98"/>
      <c r="GD77" s="98"/>
      <c r="GE77" s="98"/>
      <c r="GF77" s="98"/>
      <c r="GG77" s="98"/>
      <c r="GH77" s="98"/>
      <c r="GI77" s="98"/>
      <c r="GJ77" s="98"/>
      <c r="GK77" s="98"/>
      <c r="GL77" s="98"/>
      <c r="GM77" s="98"/>
    </row>
    <row r="78" spans="1:195">
      <c r="A78" s="100">
        <v>392</v>
      </c>
      <c r="B78" s="98">
        <v>102</v>
      </c>
      <c r="C78" s="98" t="s">
        <v>370</v>
      </c>
      <c r="D78" s="126" t="s">
        <v>235</v>
      </c>
      <c r="E78" s="98">
        <v>1975</v>
      </c>
      <c r="F78" s="98">
        <v>1976</v>
      </c>
      <c r="G78" s="98" t="s">
        <v>15</v>
      </c>
      <c r="H78" s="98" t="s">
        <v>290</v>
      </c>
      <c r="I78" s="98">
        <v>92.96</v>
      </c>
      <c r="J78" s="98">
        <v>10.7</v>
      </c>
      <c r="K78" s="98"/>
      <c r="L78" s="98">
        <v>250</v>
      </c>
      <c r="M78" s="98">
        <v>3</v>
      </c>
      <c r="N78" s="98">
        <v>2.5</v>
      </c>
      <c r="O78" s="98"/>
      <c r="P78" s="127">
        <v>356000000</v>
      </c>
      <c r="Q78" s="127"/>
      <c r="R78" s="98">
        <v>65120</v>
      </c>
      <c r="S78" s="97" t="s">
        <v>335</v>
      </c>
      <c r="T78" s="129">
        <v>310000000</v>
      </c>
      <c r="U78" s="129">
        <v>77.400000000000006</v>
      </c>
      <c r="V78" s="127">
        <v>23994000000</v>
      </c>
      <c r="W78" s="130" t="s">
        <v>238</v>
      </c>
      <c r="X78" s="129">
        <v>86.9</v>
      </c>
      <c r="Y78" s="98"/>
      <c r="Z78" s="98"/>
      <c r="AA78" s="129">
        <v>151</v>
      </c>
      <c r="AB78" s="98">
        <v>1</v>
      </c>
      <c r="AC78" s="131"/>
      <c r="AD78" s="98"/>
      <c r="AE78" s="98">
        <v>3058219</v>
      </c>
      <c r="AF78" s="129">
        <v>1.25</v>
      </c>
      <c r="AG78" s="98">
        <v>4</v>
      </c>
      <c r="AH78" s="98">
        <v>6</v>
      </c>
      <c r="AI78" s="98"/>
      <c r="AJ78" s="98" t="s">
        <v>239</v>
      </c>
      <c r="AK78" s="133">
        <f t="shared" si="3"/>
        <v>1.7376294591484465</v>
      </c>
      <c r="AL78" s="134">
        <f t="shared" si="4"/>
        <v>472.39181541316015</v>
      </c>
      <c r="AM78" s="135">
        <f t="shared" si="5"/>
        <v>0.89067894131185266</v>
      </c>
      <c r="AN78" s="135">
        <f>3600*AF78*SQRT(9.81/X78)</f>
        <v>1511.9489552455545</v>
      </c>
      <c r="AO78" s="98"/>
      <c r="AP78" s="136"/>
      <c r="AQ78" s="98"/>
      <c r="AR78" s="98"/>
      <c r="AS78" s="98"/>
      <c r="AT78" s="98"/>
      <c r="AU78" s="98"/>
      <c r="AV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c r="CU78" s="98"/>
      <c r="CV78" s="98"/>
      <c r="CW78" s="98"/>
      <c r="CX78" s="98"/>
      <c r="CY78" s="98"/>
      <c r="CZ78" s="98"/>
      <c r="DA78" s="98"/>
      <c r="DB78" s="98"/>
      <c r="DC78" s="98"/>
      <c r="DD78" s="98"/>
      <c r="DE78" s="98"/>
      <c r="DF78" s="98"/>
      <c r="DG78" s="98"/>
      <c r="DH78" s="98"/>
      <c r="DI78" s="98"/>
      <c r="DJ78" s="98"/>
      <c r="DK78" s="98"/>
      <c r="DL78" s="98"/>
      <c r="DM78" s="98"/>
      <c r="DN78" s="98"/>
      <c r="DO78" s="98"/>
      <c r="DP78" s="98"/>
      <c r="DQ78" s="98"/>
      <c r="DR78" s="98"/>
      <c r="DS78" s="98"/>
      <c r="DT78" s="98"/>
      <c r="DU78" s="98"/>
      <c r="DV78" s="98"/>
      <c r="DW78" s="98"/>
      <c r="DX78" s="98"/>
      <c r="DY78" s="98"/>
      <c r="DZ78" s="98"/>
      <c r="EA78" s="98"/>
      <c r="EB78" s="98"/>
      <c r="EC78" s="98"/>
      <c r="ED78" s="98"/>
      <c r="EE78" s="98"/>
      <c r="EF78" s="98"/>
      <c r="EG78" s="98"/>
      <c r="EH78" s="98"/>
      <c r="EI78" s="98"/>
      <c r="EJ78" s="98"/>
      <c r="EK78" s="98"/>
      <c r="EL78" s="98"/>
      <c r="EM78" s="98"/>
      <c r="EN78" s="98"/>
      <c r="EO78" s="98"/>
      <c r="EP78" s="98"/>
      <c r="EQ78" s="98"/>
      <c r="ER78" s="98"/>
      <c r="ES78" s="98"/>
      <c r="ET78" s="98"/>
      <c r="EU78" s="98"/>
      <c r="EV78" s="98"/>
      <c r="EW78" s="98"/>
      <c r="EX78" s="98"/>
      <c r="EY78" s="98"/>
      <c r="EZ78" s="98"/>
      <c r="FA78" s="98"/>
      <c r="FB78" s="98"/>
      <c r="FC78" s="98"/>
      <c r="FD78" s="98"/>
      <c r="FE78" s="98"/>
      <c r="FF78" s="98"/>
      <c r="FG78" s="98"/>
      <c r="FH78" s="98"/>
      <c r="FI78" s="98"/>
      <c r="FJ78" s="98"/>
      <c r="FK78" s="98"/>
      <c r="FL78" s="98"/>
      <c r="FM78" s="98"/>
      <c r="FN78" s="98"/>
      <c r="FO78" s="98"/>
      <c r="FP78" s="98"/>
      <c r="FQ78" s="98"/>
      <c r="FR78" s="98"/>
      <c r="FS78" s="98"/>
      <c r="FT78" s="98"/>
      <c r="FU78" s="98"/>
      <c r="FV78" s="98"/>
      <c r="FW78" s="98"/>
      <c r="FX78" s="98"/>
      <c r="FY78" s="98"/>
      <c r="FZ78" s="98"/>
      <c r="GA78" s="98"/>
      <c r="GB78" s="98"/>
      <c r="GC78" s="98"/>
      <c r="GD78" s="98"/>
      <c r="GE78" s="98"/>
      <c r="GF78" s="98"/>
      <c r="GG78" s="98"/>
      <c r="GH78" s="98"/>
      <c r="GI78" s="98"/>
      <c r="GJ78" s="98"/>
      <c r="GK78" s="98"/>
      <c r="GL78" s="98"/>
      <c r="GM78" s="98"/>
    </row>
    <row r="79" spans="1:195">
      <c r="A79" s="100">
        <v>394</v>
      </c>
      <c r="B79" s="98">
        <v>103</v>
      </c>
      <c r="C79" s="98" t="s">
        <v>371</v>
      </c>
      <c r="D79" s="126" t="s">
        <v>235</v>
      </c>
      <c r="E79" s="98"/>
      <c r="F79" s="98"/>
      <c r="G79" s="98" t="s">
        <v>15</v>
      </c>
      <c r="H79" s="98"/>
      <c r="I79" s="98"/>
      <c r="J79" s="98"/>
      <c r="K79" s="98"/>
      <c r="L79" s="98">
        <v>7.62</v>
      </c>
      <c r="M79" s="98"/>
      <c r="N79" s="98"/>
      <c r="O79" s="98"/>
      <c r="P79" s="127"/>
      <c r="Q79" s="127"/>
      <c r="R79" s="98"/>
      <c r="S79" s="97"/>
      <c r="T79" s="129">
        <v>1480000</v>
      </c>
      <c r="U79" s="129">
        <v>5.18</v>
      </c>
      <c r="V79" s="127">
        <v>7666400</v>
      </c>
      <c r="W79" s="130"/>
      <c r="X79" s="129">
        <v>5.18</v>
      </c>
      <c r="Y79" s="98"/>
      <c r="Z79" s="98"/>
      <c r="AA79" s="129">
        <v>21</v>
      </c>
      <c r="AB79" s="98">
        <v>0.82</v>
      </c>
      <c r="AC79" s="131"/>
      <c r="AD79" s="131"/>
      <c r="AE79" s="98">
        <v>828.90359999999998</v>
      </c>
      <c r="AF79" s="129"/>
      <c r="AG79" s="98"/>
      <c r="AH79" s="98"/>
      <c r="AI79" s="98"/>
      <c r="AJ79" s="98" t="s">
        <v>248</v>
      </c>
      <c r="AK79" s="133">
        <f t="shared" si="3"/>
        <v>4.0540540540540544</v>
      </c>
      <c r="AL79" s="134">
        <f t="shared" si="4"/>
        <v>10648.107724776233</v>
      </c>
      <c r="AM79" s="135">
        <f t="shared" si="5"/>
        <v>1</v>
      </c>
      <c r="AN79" s="135"/>
      <c r="AO79" s="98"/>
      <c r="AP79" s="136"/>
      <c r="AQ79" s="98"/>
      <c r="AR79" s="98"/>
      <c r="AS79" s="98"/>
      <c r="AT79" s="98"/>
      <c r="AU79" s="98"/>
      <c r="AV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c r="CU79" s="98"/>
      <c r="CV79" s="98"/>
      <c r="CW79" s="98"/>
      <c r="CX79" s="98"/>
      <c r="CY79" s="98"/>
      <c r="CZ79" s="98"/>
      <c r="DA79" s="98"/>
      <c r="DB79" s="98"/>
      <c r="DC79" s="98"/>
      <c r="DD79" s="98"/>
      <c r="DE79" s="98"/>
      <c r="DF79" s="98"/>
      <c r="DG79" s="98"/>
      <c r="DH79" s="98"/>
      <c r="DI79" s="98"/>
      <c r="DJ79" s="98"/>
      <c r="DK79" s="98"/>
      <c r="DL79" s="98"/>
      <c r="DM79" s="98"/>
      <c r="DN79" s="98"/>
      <c r="DO79" s="98"/>
      <c r="DP79" s="98"/>
      <c r="DQ79" s="98"/>
      <c r="DR79" s="98"/>
      <c r="DS79" s="98"/>
      <c r="DT79" s="98"/>
      <c r="DU79" s="98"/>
      <c r="DV79" s="98"/>
      <c r="DW79" s="98"/>
      <c r="DX79" s="98"/>
      <c r="DY79" s="98"/>
      <c r="DZ79" s="98"/>
      <c r="EA79" s="98"/>
      <c r="EB79" s="98"/>
      <c r="EC79" s="98"/>
      <c r="ED79" s="98"/>
      <c r="EE79" s="98"/>
      <c r="EF79" s="98"/>
      <c r="EG79" s="98"/>
      <c r="EH79" s="98"/>
      <c r="EI79" s="98"/>
      <c r="EJ79" s="98"/>
      <c r="EK79" s="98"/>
      <c r="EL79" s="98"/>
      <c r="EM79" s="98"/>
      <c r="EN79" s="98"/>
      <c r="EO79" s="98"/>
      <c r="EP79" s="98"/>
      <c r="EQ79" s="98"/>
      <c r="ER79" s="98"/>
      <c r="ES79" s="98"/>
      <c r="ET79" s="98"/>
      <c r="EU79" s="98"/>
      <c r="EV79" s="98"/>
      <c r="EW79" s="98"/>
      <c r="EX79" s="98"/>
      <c r="EY79" s="98"/>
      <c r="EZ79" s="98"/>
      <c r="FA79" s="98"/>
      <c r="FB79" s="98"/>
      <c r="FC79" s="98"/>
      <c r="FD79" s="98"/>
      <c r="FE79" s="98"/>
      <c r="FF79" s="98"/>
      <c r="FG79" s="98"/>
      <c r="FH79" s="98"/>
      <c r="FI79" s="98"/>
      <c r="FJ79" s="98"/>
      <c r="FK79" s="98"/>
      <c r="FL79" s="98"/>
      <c r="FM79" s="98"/>
      <c r="FN79" s="98"/>
      <c r="FO79" s="98"/>
      <c r="FP79" s="98"/>
      <c r="FQ79" s="98"/>
      <c r="FR79" s="98"/>
      <c r="FS79" s="98"/>
      <c r="FT79" s="98"/>
      <c r="FU79" s="98"/>
      <c r="FV79" s="98"/>
      <c r="FW79" s="98"/>
      <c r="FX79" s="98"/>
      <c r="FY79" s="98"/>
      <c r="FZ79" s="98"/>
      <c r="GA79" s="98"/>
      <c r="GB79" s="98"/>
      <c r="GC79" s="98"/>
      <c r="GD79" s="98"/>
      <c r="GE79" s="98"/>
      <c r="GF79" s="98"/>
      <c r="GG79" s="98"/>
      <c r="GH79" s="98"/>
      <c r="GI79" s="98"/>
      <c r="GJ79" s="98"/>
      <c r="GK79" s="98"/>
      <c r="GL79" s="98"/>
      <c r="GM79" s="98"/>
    </row>
    <row r="80" spans="1:195">
      <c r="A80" s="100">
        <v>396</v>
      </c>
      <c r="B80" s="98">
        <v>104</v>
      </c>
      <c r="C80" s="98" t="s">
        <v>372</v>
      </c>
      <c r="D80" s="126" t="s">
        <v>235</v>
      </c>
      <c r="E80" s="98"/>
      <c r="F80" s="98"/>
      <c r="G80" s="98" t="s">
        <v>9</v>
      </c>
      <c r="H80" s="98"/>
      <c r="I80" s="98"/>
      <c r="J80" s="98"/>
      <c r="K80" s="98"/>
      <c r="L80" s="98">
        <v>21.6</v>
      </c>
      <c r="M80" s="98"/>
      <c r="N80" s="98"/>
      <c r="O80" s="98"/>
      <c r="P80" s="127"/>
      <c r="Q80" s="127"/>
      <c r="R80" s="98"/>
      <c r="S80" s="97"/>
      <c r="T80" s="129">
        <v>493000</v>
      </c>
      <c r="U80" s="129">
        <v>8.5299999999999994</v>
      </c>
      <c r="V80" s="127">
        <v>4205290</v>
      </c>
      <c r="W80" s="130"/>
      <c r="X80" s="129">
        <v>8.5299999999999994</v>
      </c>
      <c r="Y80" s="98"/>
      <c r="Z80" s="98"/>
      <c r="AA80" s="129">
        <v>26.2</v>
      </c>
      <c r="AB80" s="98">
        <v>1.79</v>
      </c>
      <c r="AC80" s="131"/>
      <c r="AD80" s="131"/>
      <c r="AE80" s="98">
        <v>4827.2975999999999</v>
      </c>
      <c r="AF80" s="129"/>
      <c r="AG80" s="98"/>
      <c r="AH80" s="98"/>
      <c r="AI80" s="98"/>
      <c r="AJ80" s="98" t="s">
        <v>248</v>
      </c>
      <c r="AK80" s="133">
        <f t="shared" si="3"/>
        <v>3.0715123094958972</v>
      </c>
      <c r="AL80" s="134">
        <f t="shared" si="4"/>
        <v>794.32791606474518</v>
      </c>
      <c r="AM80" s="135">
        <f t="shared" si="5"/>
        <v>1</v>
      </c>
      <c r="AN80" s="135"/>
      <c r="AO80" s="98"/>
      <c r="AP80" s="136"/>
      <c r="AQ80" s="98"/>
      <c r="AR80" s="98"/>
      <c r="AS80" s="98"/>
      <c r="AT80" s="98"/>
      <c r="AU80" s="98"/>
      <c r="AV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c r="CU80" s="98"/>
      <c r="CV80" s="98"/>
      <c r="CW80" s="98"/>
      <c r="CX80" s="98"/>
      <c r="CY80" s="98"/>
      <c r="CZ80" s="98"/>
      <c r="DA80" s="98"/>
      <c r="DB80" s="98"/>
      <c r="DC80" s="98"/>
      <c r="DD80" s="98"/>
      <c r="DE80" s="98"/>
      <c r="DF80" s="98"/>
      <c r="DG80" s="98"/>
      <c r="DH80" s="98"/>
      <c r="DI80" s="98"/>
      <c r="DJ80" s="98"/>
      <c r="DK80" s="98"/>
      <c r="DL80" s="98"/>
      <c r="DM80" s="98"/>
      <c r="DN80" s="98"/>
      <c r="DO80" s="98"/>
      <c r="DP80" s="98"/>
      <c r="DQ80" s="98"/>
      <c r="DR80" s="98"/>
      <c r="DS80" s="98"/>
      <c r="DT80" s="98"/>
      <c r="DU80" s="98"/>
      <c r="DV80" s="98"/>
      <c r="DW80" s="98"/>
      <c r="DX80" s="98"/>
      <c r="DY80" s="98"/>
      <c r="DZ80" s="98"/>
      <c r="EA80" s="98"/>
      <c r="EB80" s="98"/>
      <c r="EC80" s="98"/>
      <c r="ED80" s="98"/>
      <c r="EE80" s="98"/>
      <c r="EF80" s="98"/>
      <c r="EG80" s="98"/>
      <c r="EH80" s="98"/>
      <c r="EI80" s="98"/>
      <c r="EJ80" s="98"/>
      <c r="EK80" s="98"/>
      <c r="EL80" s="98"/>
      <c r="EM80" s="98"/>
      <c r="EN80" s="98"/>
      <c r="EO80" s="98"/>
      <c r="EP80" s="98"/>
      <c r="EQ80" s="98"/>
      <c r="ER80" s="98"/>
      <c r="ES80" s="98"/>
      <c r="ET80" s="98"/>
      <c r="EU80" s="98"/>
      <c r="EV80" s="98"/>
      <c r="EW80" s="98"/>
      <c r="EX80" s="98"/>
      <c r="EY80" s="98"/>
      <c r="EZ80" s="98"/>
      <c r="FA80" s="98"/>
      <c r="FB80" s="98"/>
      <c r="FC80" s="98"/>
      <c r="FD80" s="98"/>
      <c r="FE80" s="98"/>
      <c r="FF80" s="98"/>
      <c r="FG80" s="98"/>
      <c r="FH80" s="98"/>
      <c r="FI80" s="98"/>
      <c r="FJ80" s="98"/>
      <c r="FK80" s="98"/>
      <c r="FL80" s="98"/>
      <c r="FM80" s="98"/>
      <c r="FN80" s="98"/>
      <c r="FO80" s="98"/>
      <c r="FP80" s="98"/>
      <c r="FQ80" s="98"/>
      <c r="FR80" s="98"/>
      <c r="FS80" s="98"/>
      <c r="FT80" s="98"/>
      <c r="FU80" s="98"/>
      <c r="FV80" s="98"/>
      <c r="FW80" s="98"/>
      <c r="FX80" s="98"/>
      <c r="FY80" s="98"/>
      <c r="FZ80" s="98"/>
      <c r="GA80" s="98"/>
      <c r="GB80" s="98"/>
      <c r="GC80" s="98"/>
      <c r="GD80" s="98"/>
      <c r="GE80" s="98"/>
      <c r="GF80" s="98"/>
      <c r="GG80" s="98"/>
      <c r="GH80" s="98"/>
      <c r="GI80" s="98"/>
      <c r="GJ80" s="98"/>
      <c r="GK80" s="98"/>
      <c r="GL80" s="98"/>
      <c r="GM80" s="98"/>
    </row>
    <row r="81" spans="1:195">
      <c r="A81" s="100">
        <v>398</v>
      </c>
      <c r="B81" s="98">
        <v>105</v>
      </c>
      <c r="C81" s="98" t="s">
        <v>373</v>
      </c>
      <c r="D81" s="126" t="s">
        <v>235</v>
      </c>
      <c r="E81" s="98"/>
      <c r="F81" s="98"/>
      <c r="G81" s="98" t="s">
        <v>9</v>
      </c>
      <c r="H81" s="98"/>
      <c r="I81" s="98"/>
      <c r="J81" s="98"/>
      <c r="K81" s="98"/>
      <c r="L81" s="98"/>
      <c r="M81" s="98"/>
      <c r="N81" s="98"/>
      <c r="O81" s="98"/>
      <c r="P81" s="127"/>
      <c r="Q81" s="127"/>
      <c r="R81" s="98"/>
      <c r="S81" s="97"/>
      <c r="T81" s="129">
        <v>222000</v>
      </c>
      <c r="U81" s="129">
        <v>5.18</v>
      </c>
      <c r="V81" s="127">
        <v>1149960</v>
      </c>
      <c r="W81" s="130"/>
      <c r="X81" s="129">
        <v>5.18</v>
      </c>
      <c r="Y81" s="98"/>
      <c r="Z81" s="98"/>
      <c r="AA81" s="129">
        <v>16.5</v>
      </c>
      <c r="AB81" s="98">
        <v>1.71</v>
      </c>
      <c r="AC81" s="131"/>
      <c r="AD81" s="131"/>
      <c r="AE81" s="98"/>
      <c r="AF81" s="129"/>
      <c r="AG81" s="98"/>
      <c r="AH81" s="98"/>
      <c r="AI81" s="98"/>
      <c r="AJ81" s="98" t="s">
        <v>248</v>
      </c>
      <c r="AK81" s="133">
        <f t="shared" si="3"/>
        <v>3.1853281853281854</v>
      </c>
      <c r="AL81" s="134">
        <f t="shared" si="4"/>
        <v>1597.2161587164351</v>
      </c>
      <c r="AM81" s="135">
        <f t="shared" si="5"/>
        <v>1</v>
      </c>
      <c r="AN81" s="135"/>
      <c r="AO81" s="98"/>
      <c r="AP81" s="136"/>
      <c r="AQ81" s="98"/>
      <c r="AR81" s="98"/>
      <c r="AS81" s="98"/>
      <c r="AT81" s="98"/>
      <c r="AU81" s="98"/>
      <c r="AV81" s="98"/>
      <c r="BB81" s="98"/>
      <c r="BC81" s="98"/>
      <c r="BD81" s="98"/>
      <c r="BE81" s="98"/>
      <c r="BF81" s="98"/>
      <c r="BG81" s="98"/>
      <c r="BH81" s="98"/>
      <c r="BI81" s="98"/>
      <c r="BJ81" s="98"/>
      <c r="BK81" s="98"/>
      <c r="BL81" s="98"/>
      <c r="BM81" s="98"/>
      <c r="BN81" s="98"/>
      <c r="BO81" s="98"/>
      <c r="BP81" s="98"/>
      <c r="BQ81" s="98"/>
      <c r="BR81" s="98"/>
      <c r="BS81" s="98"/>
      <c r="BT81" s="98"/>
      <c r="BU81" s="98"/>
      <c r="BV81" s="98"/>
      <c r="BW81" s="98"/>
      <c r="BX81" s="98"/>
      <c r="BY81" s="98"/>
      <c r="BZ81" s="98"/>
      <c r="CA81" s="98"/>
      <c r="CB81" s="98"/>
      <c r="CC81" s="98"/>
      <c r="CD81" s="98"/>
      <c r="CE81" s="98"/>
      <c r="CF81" s="98"/>
      <c r="CG81" s="98"/>
      <c r="CH81" s="98"/>
      <c r="CI81" s="98"/>
      <c r="CJ81" s="98"/>
      <c r="CK81" s="98"/>
      <c r="CL81" s="98"/>
      <c r="CM81" s="98"/>
      <c r="CN81" s="98"/>
      <c r="CO81" s="98"/>
      <c r="CP81" s="98"/>
      <c r="CQ81" s="98"/>
      <c r="CR81" s="98"/>
      <c r="CS81" s="98"/>
      <c r="CT81" s="98"/>
      <c r="CU81" s="98"/>
      <c r="CV81" s="98"/>
      <c r="CW81" s="98"/>
      <c r="CX81" s="98"/>
      <c r="CY81" s="98"/>
      <c r="CZ81" s="98"/>
      <c r="DA81" s="98"/>
      <c r="DB81" s="98"/>
      <c r="DC81" s="98"/>
      <c r="DD81" s="98"/>
      <c r="DE81" s="98"/>
      <c r="DF81" s="98"/>
      <c r="DG81" s="98"/>
      <c r="DH81" s="98"/>
      <c r="DI81" s="98"/>
      <c r="DJ81" s="98"/>
      <c r="DK81" s="98"/>
      <c r="DL81" s="98"/>
      <c r="DM81" s="98"/>
      <c r="DN81" s="98"/>
      <c r="DO81" s="98"/>
      <c r="DP81" s="98"/>
      <c r="DQ81" s="98"/>
      <c r="DR81" s="98"/>
      <c r="DS81" s="98"/>
      <c r="DT81" s="98"/>
      <c r="DU81" s="98"/>
      <c r="DV81" s="98"/>
      <c r="DW81" s="98"/>
      <c r="DX81" s="98"/>
      <c r="DY81" s="98"/>
      <c r="DZ81" s="98"/>
      <c r="EA81" s="98"/>
      <c r="EB81" s="98"/>
      <c r="EC81" s="98"/>
      <c r="ED81" s="98"/>
      <c r="EE81" s="98"/>
      <c r="EF81" s="98"/>
      <c r="EG81" s="98"/>
      <c r="EH81" s="98"/>
      <c r="EI81" s="98"/>
      <c r="EJ81" s="98"/>
      <c r="EK81" s="98"/>
      <c r="EL81" s="98"/>
      <c r="EM81" s="98"/>
      <c r="EN81" s="98"/>
      <c r="EO81" s="98"/>
      <c r="EP81" s="98"/>
      <c r="EQ81" s="98"/>
      <c r="ER81" s="98"/>
      <c r="ES81" s="98"/>
      <c r="ET81" s="98"/>
      <c r="EU81" s="98"/>
      <c r="EV81" s="98"/>
      <c r="EW81" s="98"/>
      <c r="EX81" s="98"/>
      <c r="EY81" s="98"/>
      <c r="EZ81" s="98"/>
      <c r="FA81" s="98"/>
      <c r="FB81" s="98"/>
      <c r="FC81" s="98"/>
      <c r="FD81" s="98"/>
      <c r="FE81" s="98"/>
      <c r="FF81" s="98"/>
      <c r="FG81" s="98"/>
      <c r="FH81" s="98"/>
      <c r="FI81" s="98"/>
      <c r="FJ81" s="98"/>
      <c r="FK81" s="98"/>
      <c r="FL81" s="98"/>
      <c r="FM81" s="98"/>
      <c r="FN81" s="98"/>
      <c r="FO81" s="98"/>
      <c r="FP81" s="98"/>
      <c r="FQ81" s="98"/>
      <c r="FR81" s="98"/>
      <c r="FS81" s="98"/>
      <c r="FT81" s="98"/>
      <c r="FU81" s="98"/>
      <c r="FV81" s="98"/>
      <c r="FW81" s="98"/>
      <c r="FX81" s="98"/>
      <c r="FY81" s="98"/>
      <c r="FZ81" s="98"/>
      <c r="GA81" s="98"/>
      <c r="GB81" s="98"/>
      <c r="GC81" s="98"/>
      <c r="GD81" s="98"/>
      <c r="GE81" s="98"/>
      <c r="GF81" s="98"/>
      <c r="GG81" s="98"/>
      <c r="GH81" s="98"/>
      <c r="GI81" s="98"/>
      <c r="GJ81" s="98"/>
      <c r="GK81" s="98"/>
      <c r="GL81" s="98"/>
      <c r="GM81" s="98"/>
    </row>
    <row r="82" spans="1:195">
      <c r="A82" s="100">
        <v>403</v>
      </c>
      <c r="B82" s="98">
        <v>106</v>
      </c>
      <c r="C82" s="98" t="s">
        <v>374</v>
      </c>
      <c r="D82" s="126" t="s">
        <v>235</v>
      </c>
      <c r="E82" s="98">
        <v>1893</v>
      </c>
      <c r="F82" s="98">
        <v>1969</v>
      </c>
      <c r="G82" s="98" t="s">
        <v>15</v>
      </c>
      <c r="H82" s="98" t="s">
        <v>241</v>
      </c>
      <c r="I82" s="98">
        <v>13.6</v>
      </c>
      <c r="J82" s="98">
        <v>6.1</v>
      </c>
      <c r="K82" s="98"/>
      <c r="L82" s="98"/>
      <c r="M82" s="98"/>
      <c r="N82" s="98"/>
      <c r="O82" s="98"/>
      <c r="P82" s="127">
        <v>11500000</v>
      </c>
      <c r="Q82" s="127"/>
      <c r="R82" s="98"/>
      <c r="S82" s="97"/>
      <c r="T82" s="129">
        <v>11600000</v>
      </c>
      <c r="U82" s="129">
        <v>12.2</v>
      </c>
      <c r="V82" s="127">
        <v>141520000</v>
      </c>
      <c r="W82" s="130" t="s">
        <v>238</v>
      </c>
      <c r="X82" s="129">
        <v>13.7</v>
      </c>
      <c r="Y82" s="98">
        <v>46</v>
      </c>
      <c r="Z82" s="98">
        <v>41</v>
      </c>
      <c r="AA82" s="129">
        <v>35.4</v>
      </c>
      <c r="AB82" s="98">
        <v>0.75</v>
      </c>
      <c r="AC82" s="98">
        <v>0.5</v>
      </c>
      <c r="AD82" s="98">
        <v>0.5</v>
      </c>
      <c r="AE82" s="98">
        <v>14603</v>
      </c>
      <c r="AF82" s="129">
        <v>1.5</v>
      </c>
      <c r="AG82" s="98">
        <v>1.5</v>
      </c>
      <c r="AH82" s="98">
        <v>1.5</v>
      </c>
      <c r="AI82" s="98"/>
      <c r="AJ82" s="98" t="s">
        <v>255</v>
      </c>
      <c r="AK82" s="133">
        <f t="shared" si="3"/>
        <v>2.5839416058394162</v>
      </c>
      <c r="AL82" s="134">
        <f t="shared" si="4"/>
        <v>4511.2436915507133</v>
      </c>
      <c r="AM82" s="135">
        <f t="shared" si="5"/>
        <v>0.89051094890510951</v>
      </c>
      <c r="AN82" s="135">
        <f>3600*AF82*SQRT(9.81/X82)</f>
        <v>4569.4926166613541</v>
      </c>
      <c r="AO82" s="98"/>
      <c r="AP82" s="136"/>
      <c r="AQ82" s="98"/>
      <c r="AR82" s="98"/>
      <c r="AS82" s="98"/>
      <c r="AT82" s="98"/>
      <c r="AU82" s="98"/>
      <c r="AV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c r="CU82" s="98"/>
      <c r="CV82" s="98"/>
      <c r="CW82" s="98"/>
      <c r="CX82" s="98"/>
      <c r="CY82" s="98"/>
      <c r="CZ82" s="98"/>
      <c r="DA82" s="98"/>
      <c r="DB82" s="98"/>
      <c r="DC82" s="98"/>
      <c r="DD82" s="98"/>
      <c r="DE82" s="98"/>
      <c r="DF82" s="98"/>
      <c r="DG82" s="98"/>
      <c r="DH82" s="98"/>
      <c r="DI82" s="98"/>
      <c r="DJ82" s="98"/>
      <c r="DK82" s="98"/>
      <c r="DL82" s="98"/>
      <c r="DM82" s="98"/>
      <c r="DN82" s="98"/>
      <c r="DO82" s="98"/>
      <c r="DP82" s="98"/>
      <c r="DQ82" s="98"/>
      <c r="DR82" s="98"/>
      <c r="DS82" s="98"/>
      <c r="DT82" s="98"/>
      <c r="DU82" s="98"/>
      <c r="DV82" s="98"/>
      <c r="DW82" s="98"/>
      <c r="DX82" s="98"/>
      <c r="DY82" s="98"/>
      <c r="DZ82" s="98"/>
      <c r="EA82" s="98"/>
      <c r="EB82" s="98"/>
      <c r="EC82" s="98"/>
      <c r="ED82" s="98"/>
      <c r="EE82" s="98"/>
      <c r="EF82" s="98"/>
      <c r="EG82" s="98"/>
      <c r="EH82" s="98"/>
      <c r="EI82" s="98"/>
      <c r="EJ82" s="98"/>
      <c r="EK82" s="98"/>
      <c r="EL82" s="98"/>
      <c r="EM82" s="98"/>
      <c r="EN82" s="98"/>
      <c r="EO82" s="98"/>
      <c r="EP82" s="98"/>
      <c r="EQ82" s="98"/>
      <c r="ER82" s="98"/>
      <c r="ES82" s="98"/>
      <c r="ET82" s="98"/>
      <c r="EU82" s="98"/>
      <c r="EV82" s="98"/>
      <c r="EW82" s="98"/>
      <c r="EX82" s="98"/>
      <c r="EY82" s="98"/>
      <c r="EZ82" s="98"/>
      <c r="FA82" s="98"/>
      <c r="FB82" s="98"/>
      <c r="FC82" s="98"/>
      <c r="FD82" s="98"/>
      <c r="FE82" s="98"/>
      <c r="FF82" s="98"/>
      <c r="FG82" s="98"/>
      <c r="FH82" s="98"/>
      <c r="FI82" s="98"/>
      <c r="FJ82" s="98"/>
      <c r="FK82" s="98"/>
      <c r="FL82" s="98"/>
      <c r="FM82" s="98"/>
      <c r="FN82" s="98"/>
      <c r="FO82" s="98"/>
      <c r="FP82" s="98"/>
      <c r="FQ82" s="98"/>
      <c r="FR82" s="98"/>
      <c r="FS82" s="98"/>
      <c r="FT82" s="98"/>
      <c r="FU82" s="98"/>
      <c r="FV82" s="98"/>
      <c r="FW82" s="98"/>
      <c r="FX82" s="98"/>
      <c r="FY82" s="98"/>
      <c r="FZ82" s="98"/>
      <c r="GA82" s="98"/>
      <c r="GB82" s="98"/>
      <c r="GC82" s="98"/>
      <c r="GD82" s="98"/>
      <c r="GE82" s="98"/>
      <c r="GF82" s="98"/>
      <c r="GG82" s="98"/>
      <c r="GH82" s="98"/>
      <c r="GI82" s="98"/>
      <c r="GJ82" s="98"/>
      <c r="GK82" s="98"/>
      <c r="GL82" s="98"/>
      <c r="GM82" s="98"/>
    </row>
    <row r="83" spans="1:195">
      <c r="A83" s="100">
        <v>405</v>
      </c>
      <c r="B83" s="98">
        <v>107</v>
      </c>
      <c r="C83" s="98" t="s">
        <v>375</v>
      </c>
      <c r="D83" s="126" t="s">
        <v>235</v>
      </c>
      <c r="E83" s="98">
        <v>1956</v>
      </c>
      <c r="F83" s="98">
        <v>1994</v>
      </c>
      <c r="G83" s="98" t="s">
        <v>15</v>
      </c>
      <c r="H83" s="98" t="s">
        <v>376</v>
      </c>
      <c r="I83" s="98"/>
      <c r="J83" s="98"/>
      <c r="K83" s="98"/>
      <c r="L83" s="98">
        <v>13.2</v>
      </c>
      <c r="M83" s="98"/>
      <c r="N83" s="98"/>
      <c r="O83" s="98"/>
      <c r="P83" s="127"/>
      <c r="Q83" s="127"/>
      <c r="R83" s="98"/>
      <c r="S83" s="97"/>
      <c r="T83" s="129">
        <v>533000</v>
      </c>
      <c r="U83" s="129">
        <v>3.57</v>
      </c>
      <c r="V83" s="127">
        <v>1902810</v>
      </c>
      <c r="W83" s="130"/>
      <c r="X83" s="129">
        <v>3.72</v>
      </c>
      <c r="Y83" s="98"/>
      <c r="Z83" s="98"/>
      <c r="AA83" s="171">
        <v>29</v>
      </c>
      <c r="AB83" s="98">
        <v>1.74</v>
      </c>
      <c r="AC83" s="98"/>
      <c r="AD83" s="98"/>
      <c r="AE83" s="98">
        <v>1424.0160000000001</v>
      </c>
      <c r="AF83" s="129"/>
      <c r="AG83" s="98"/>
      <c r="AH83" s="98"/>
      <c r="AI83" s="98"/>
      <c r="AJ83" s="98" t="s">
        <v>23</v>
      </c>
      <c r="AK83" s="133">
        <f t="shared" si="3"/>
        <v>7.7956989247311821</v>
      </c>
      <c r="AL83" s="134">
        <f t="shared" si="4"/>
        <v>10353.767046224499</v>
      </c>
      <c r="AM83" s="135">
        <f t="shared" si="5"/>
        <v>0.95967741935483863</v>
      </c>
      <c r="AN83" s="135"/>
      <c r="AO83" s="98"/>
      <c r="AP83" s="136"/>
      <c r="AQ83" s="98"/>
      <c r="AR83" s="98"/>
      <c r="AS83" s="98"/>
      <c r="AT83" s="98"/>
      <c r="AU83" s="98"/>
      <c r="AV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c r="CU83" s="98"/>
      <c r="CV83" s="98"/>
      <c r="CW83" s="98"/>
      <c r="CX83" s="98"/>
      <c r="CY83" s="98"/>
      <c r="CZ83" s="98"/>
      <c r="DA83" s="98"/>
      <c r="DB83" s="98"/>
      <c r="DC83" s="98"/>
      <c r="DD83" s="98"/>
      <c r="DE83" s="98"/>
      <c r="DF83" s="98"/>
      <c r="DG83" s="98"/>
      <c r="DH83" s="98"/>
      <c r="DI83" s="98"/>
      <c r="DJ83" s="98"/>
      <c r="DK83" s="98"/>
      <c r="DL83" s="98"/>
      <c r="DM83" s="98"/>
      <c r="DN83" s="98"/>
      <c r="DO83" s="98"/>
      <c r="DP83" s="98"/>
      <c r="DQ83" s="98"/>
      <c r="DR83" s="98"/>
      <c r="DS83" s="98"/>
      <c r="DT83" s="98"/>
      <c r="DU83" s="98"/>
      <c r="DV83" s="98"/>
      <c r="DW83" s="98"/>
      <c r="DX83" s="98"/>
      <c r="DY83" s="98"/>
      <c r="DZ83" s="98"/>
      <c r="EA83" s="98"/>
      <c r="EB83" s="98"/>
      <c r="EC83" s="98"/>
      <c r="ED83" s="98"/>
      <c r="EE83" s="98"/>
      <c r="EF83" s="98"/>
      <c r="EG83" s="98"/>
      <c r="EH83" s="98"/>
      <c r="EI83" s="98"/>
      <c r="EJ83" s="98"/>
      <c r="EK83" s="98"/>
      <c r="EL83" s="98"/>
      <c r="EM83" s="98"/>
      <c r="EN83" s="98"/>
      <c r="EO83" s="98"/>
      <c r="EP83" s="98"/>
      <c r="EQ83" s="98"/>
      <c r="ER83" s="98"/>
      <c r="ES83" s="98"/>
      <c r="ET83" s="98"/>
      <c r="EU83" s="98"/>
      <c r="EV83" s="98"/>
      <c r="EW83" s="98"/>
      <c r="EX83" s="98"/>
      <c r="EY83" s="98"/>
      <c r="EZ83" s="98"/>
      <c r="FA83" s="98"/>
      <c r="FB83" s="98"/>
      <c r="FC83" s="98"/>
      <c r="FD83" s="98"/>
      <c r="FE83" s="98"/>
      <c r="FF83" s="98"/>
      <c r="FG83" s="98"/>
      <c r="FH83" s="98"/>
      <c r="FI83" s="98"/>
      <c r="FJ83" s="98"/>
      <c r="FK83" s="98"/>
      <c r="FL83" s="98"/>
      <c r="FM83" s="98"/>
      <c r="FN83" s="98"/>
      <c r="FO83" s="98"/>
      <c r="FP83" s="98"/>
      <c r="FQ83" s="98"/>
      <c r="FR83" s="98"/>
      <c r="FS83" s="98"/>
      <c r="FT83" s="98"/>
      <c r="FU83" s="98"/>
      <c r="FV83" s="98"/>
      <c r="FW83" s="98"/>
      <c r="FX83" s="98"/>
      <c r="FY83" s="98"/>
      <c r="FZ83" s="98"/>
      <c r="GA83" s="98"/>
      <c r="GB83" s="98"/>
      <c r="GC83" s="98"/>
      <c r="GD83" s="98"/>
      <c r="GE83" s="98"/>
      <c r="GF83" s="98"/>
      <c r="GG83" s="98"/>
      <c r="GH83" s="98"/>
      <c r="GI83" s="98"/>
      <c r="GJ83" s="98"/>
      <c r="GK83" s="98"/>
      <c r="GL83" s="98"/>
      <c r="GM83" s="98"/>
    </row>
    <row r="84" spans="1:195">
      <c r="A84" s="100">
        <v>410</v>
      </c>
      <c r="B84" s="98">
        <v>108</v>
      </c>
      <c r="C84" s="98" t="s">
        <v>377</v>
      </c>
      <c r="D84" s="126" t="s">
        <v>235</v>
      </c>
      <c r="E84" s="98">
        <v>1904</v>
      </c>
      <c r="F84" s="98">
        <v>1912</v>
      </c>
      <c r="G84" s="98" t="s">
        <v>9</v>
      </c>
      <c r="H84" s="98" t="s">
        <v>378</v>
      </c>
      <c r="I84" s="98">
        <v>7.32</v>
      </c>
      <c r="J84" s="98">
        <v>2.1</v>
      </c>
      <c r="K84" s="98"/>
      <c r="L84" s="98">
        <v>7.76</v>
      </c>
      <c r="M84" s="98">
        <v>1</v>
      </c>
      <c r="N84" s="98">
        <v>1</v>
      </c>
      <c r="O84" s="98">
        <v>132.6</v>
      </c>
      <c r="P84" s="127">
        <v>664000</v>
      </c>
      <c r="Q84" s="98"/>
      <c r="R84" s="98"/>
      <c r="S84" s="97"/>
      <c r="T84" s="129">
        <v>662000</v>
      </c>
      <c r="U84" s="129">
        <v>6.4</v>
      </c>
      <c r="V84" s="127">
        <v>4236800</v>
      </c>
      <c r="W84" s="130" t="s">
        <v>238</v>
      </c>
      <c r="X84" s="129">
        <v>6.1</v>
      </c>
      <c r="Y84" s="98">
        <v>21.3</v>
      </c>
      <c r="Z84" s="98">
        <v>18.3</v>
      </c>
      <c r="AA84" s="129">
        <v>19.8</v>
      </c>
      <c r="AB84" s="98">
        <v>0.2</v>
      </c>
      <c r="AC84" s="131">
        <v>0.2</v>
      </c>
      <c r="AD84" s="131">
        <v>0.2</v>
      </c>
      <c r="AE84" s="98">
        <v>1483</v>
      </c>
      <c r="AF84" s="129"/>
      <c r="AG84" s="98">
        <v>5</v>
      </c>
      <c r="AH84" s="98">
        <v>5</v>
      </c>
      <c r="AI84" s="98">
        <v>5</v>
      </c>
      <c r="AJ84" s="98" t="s">
        <v>296</v>
      </c>
      <c r="AK84" s="133">
        <f t="shared" si="3"/>
        <v>3.2459016393442628</v>
      </c>
      <c r="AL84" s="134">
        <f t="shared" si="4"/>
        <v>2916.5436754618236</v>
      </c>
      <c r="AM84" s="135">
        <f t="shared" si="5"/>
        <v>1.0491803278688525</v>
      </c>
      <c r="AN84" s="135"/>
      <c r="AO84" s="98"/>
      <c r="AP84" s="136"/>
      <c r="AQ84" s="98"/>
      <c r="AR84" s="98"/>
      <c r="AS84" s="98"/>
      <c r="AT84" s="98"/>
      <c r="AU84" s="98"/>
      <c r="AV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c r="CU84" s="98"/>
      <c r="CV84" s="98"/>
      <c r="CW84" s="98"/>
      <c r="CX84" s="98"/>
      <c r="CY84" s="98"/>
      <c r="CZ84" s="98"/>
      <c r="DA84" s="98"/>
      <c r="DB84" s="98"/>
      <c r="DC84" s="98"/>
      <c r="DD84" s="98"/>
      <c r="DE84" s="98"/>
      <c r="DF84" s="98"/>
      <c r="DG84" s="98"/>
      <c r="DH84" s="98"/>
      <c r="DI84" s="98"/>
      <c r="DJ84" s="98"/>
      <c r="DK84" s="98"/>
      <c r="DL84" s="98"/>
      <c r="DM84" s="98"/>
      <c r="DN84" s="98"/>
      <c r="DO84" s="98"/>
      <c r="DP84" s="98"/>
      <c r="DQ84" s="98"/>
      <c r="DR84" s="98"/>
      <c r="DS84" s="98"/>
      <c r="DT84" s="98"/>
      <c r="DU84" s="98"/>
      <c r="DV84" s="98"/>
      <c r="DW84" s="98"/>
      <c r="DX84" s="98"/>
      <c r="DY84" s="98"/>
      <c r="DZ84" s="98"/>
      <c r="EA84" s="98"/>
      <c r="EB84" s="98"/>
      <c r="EC84" s="98"/>
      <c r="ED84" s="98"/>
      <c r="EE84" s="98"/>
      <c r="EF84" s="98"/>
      <c r="EG84" s="98"/>
      <c r="EH84" s="98"/>
      <c r="EI84" s="98"/>
      <c r="EJ84" s="98"/>
      <c r="EK84" s="98"/>
      <c r="EL84" s="98"/>
      <c r="EM84" s="98"/>
      <c r="EN84" s="98"/>
      <c r="EO84" s="98"/>
      <c r="EP84" s="98"/>
      <c r="EQ84" s="98"/>
      <c r="ER84" s="98"/>
      <c r="ES84" s="98"/>
      <c r="ET84" s="98"/>
      <c r="EU84" s="98"/>
      <c r="EV84" s="98"/>
      <c r="EW84" s="98"/>
      <c r="EX84" s="98"/>
      <c r="EY84" s="98"/>
      <c r="EZ84" s="98"/>
      <c r="FA84" s="98"/>
      <c r="FB84" s="98"/>
      <c r="FC84" s="98"/>
      <c r="FD84" s="98"/>
      <c r="FE84" s="98"/>
      <c r="FF84" s="98"/>
      <c r="FG84" s="98"/>
      <c r="FH84" s="98"/>
      <c r="FI84" s="98"/>
      <c r="FJ84" s="98"/>
      <c r="FK84" s="98"/>
      <c r="FL84" s="98"/>
      <c r="FM84" s="98"/>
      <c r="FN84" s="98"/>
      <c r="FO84" s="98"/>
      <c r="FP84" s="98"/>
      <c r="FQ84" s="98"/>
      <c r="FR84" s="98"/>
      <c r="FS84" s="98"/>
      <c r="FT84" s="98"/>
      <c r="FU84" s="98"/>
      <c r="FV84" s="98"/>
      <c r="FW84" s="98"/>
      <c r="FX84" s="98"/>
      <c r="FY84" s="98"/>
      <c r="FZ84" s="98"/>
      <c r="GA84" s="98"/>
      <c r="GB84" s="98"/>
      <c r="GC84" s="98"/>
      <c r="GD84" s="98"/>
      <c r="GE84" s="98"/>
      <c r="GF84" s="98"/>
      <c r="GG84" s="98"/>
      <c r="GH84" s="98"/>
      <c r="GI84" s="98"/>
      <c r="GJ84" s="98"/>
      <c r="GK84" s="98"/>
      <c r="GL84" s="98"/>
      <c r="GM84" s="98"/>
    </row>
    <row r="85" spans="1:195">
      <c r="B85" s="98"/>
      <c r="C85" s="98"/>
      <c r="D85" s="98"/>
      <c r="E85" s="98"/>
      <c r="F85" s="98"/>
      <c r="G85" s="98"/>
      <c r="H85" s="98"/>
      <c r="I85" s="98"/>
      <c r="J85" s="98"/>
      <c r="K85" s="98"/>
      <c r="L85" s="98"/>
      <c r="M85" s="98"/>
      <c r="N85" s="98"/>
      <c r="O85" s="98"/>
      <c r="P85" s="127"/>
      <c r="Q85" s="98"/>
      <c r="R85" s="98"/>
      <c r="S85" s="97"/>
      <c r="T85" s="129"/>
      <c r="U85" s="129"/>
      <c r="V85" s="127"/>
      <c r="W85" s="98"/>
      <c r="X85" s="129"/>
      <c r="Y85" s="98"/>
      <c r="Z85" s="98"/>
      <c r="AA85" s="129"/>
      <c r="AB85" s="98"/>
      <c r="AC85" s="131"/>
      <c r="AD85" s="131"/>
      <c r="AE85" s="98"/>
      <c r="AF85" s="129"/>
      <c r="AG85" s="98"/>
      <c r="AH85" s="98"/>
      <c r="AI85" s="98"/>
      <c r="AJ85" s="98"/>
      <c r="AL85" s="173"/>
      <c r="AM85" s="173"/>
      <c r="AN85" s="173"/>
      <c r="AO85" s="98"/>
      <c r="AP85" s="136"/>
      <c r="AQ85" s="98"/>
      <c r="AR85" s="98"/>
      <c r="AS85" s="98"/>
      <c r="AT85" s="98"/>
      <c r="AU85" s="98"/>
      <c r="AV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c r="CU85" s="98"/>
      <c r="CV85" s="98"/>
      <c r="CW85" s="98"/>
      <c r="CX85" s="98"/>
      <c r="CY85" s="98"/>
      <c r="CZ85" s="98"/>
      <c r="DA85" s="98"/>
      <c r="DB85" s="98"/>
      <c r="DC85" s="98"/>
      <c r="DD85" s="98"/>
      <c r="DE85" s="98"/>
      <c r="DF85" s="98"/>
      <c r="DG85" s="98"/>
      <c r="DH85" s="98"/>
      <c r="DI85" s="98"/>
      <c r="DJ85" s="98"/>
      <c r="DK85" s="98"/>
      <c r="DL85" s="98"/>
      <c r="DM85" s="98"/>
      <c r="DN85" s="98"/>
      <c r="DO85" s="98"/>
      <c r="DP85" s="98"/>
      <c r="DQ85" s="98"/>
      <c r="DR85" s="98"/>
      <c r="DS85" s="98"/>
      <c r="DT85" s="98"/>
      <c r="DU85" s="98"/>
      <c r="DV85" s="98"/>
      <c r="DW85" s="98"/>
      <c r="DX85" s="98"/>
      <c r="DY85" s="98"/>
      <c r="DZ85" s="98"/>
      <c r="EA85" s="98"/>
      <c r="EB85" s="98"/>
      <c r="EC85" s="98"/>
      <c r="ED85" s="98"/>
      <c r="EE85" s="98"/>
      <c r="EF85" s="98"/>
      <c r="EG85" s="98"/>
      <c r="EH85" s="98"/>
      <c r="EI85" s="98"/>
      <c r="EJ85" s="98"/>
      <c r="EK85" s="98"/>
      <c r="EL85" s="98"/>
      <c r="EM85" s="98"/>
      <c r="EN85" s="98"/>
      <c r="EO85" s="98"/>
      <c r="EP85" s="98"/>
      <c r="EQ85" s="98"/>
      <c r="ER85" s="98"/>
      <c r="ES85" s="98"/>
      <c r="ET85" s="98"/>
      <c r="EU85" s="98"/>
      <c r="EV85" s="98"/>
      <c r="EW85" s="98"/>
      <c r="EX85" s="98"/>
      <c r="EY85" s="98"/>
      <c r="EZ85" s="98"/>
      <c r="FA85" s="98"/>
      <c r="FB85" s="98"/>
      <c r="FC85" s="98"/>
      <c r="FD85" s="98"/>
      <c r="FE85" s="98"/>
      <c r="FF85" s="98"/>
      <c r="FG85" s="98"/>
      <c r="FH85" s="98"/>
      <c r="FI85" s="98"/>
      <c r="FJ85" s="98"/>
      <c r="FK85" s="98"/>
      <c r="FL85" s="98"/>
      <c r="FM85" s="98"/>
      <c r="FN85" s="98"/>
      <c r="FO85" s="98"/>
      <c r="FP85" s="98"/>
      <c r="FQ85" s="98"/>
      <c r="FR85" s="98"/>
      <c r="FS85" s="98"/>
      <c r="FT85" s="98"/>
      <c r="FU85" s="98"/>
      <c r="FV85" s="98"/>
      <c r="FW85" s="98"/>
      <c r="FX85" s="98"/>
      <c r="FY85" s="98"/>
      <c r="FZ85" s="98"/>
      <c r="GA85" s="98"/>
      <c r="GB85" s="98"/>
      <c r="GC85" s="98"/>
      <c r="GD85" s="98"/>
      <c r="GE85" s="98"/>
      <c r="GF85" s="98"/>
      <c r="GG85" s="98"/>
      <c r="GH85" s="98"/>
      <c r="GI85" s="98"/>
      <c r="GJ85" s="98"/>
      <c r="GK85" s="98"/>
      <c r="GL85" s="98"/>
      <c r="GM85" s="98"/>
    </row>
    <row r="86" spans="1:195">
      <c r="AP86" s="136"/>
      <c r="AQ86" s="98"/>
      <c r="AR86" s="98"/>
      <c r="AS86" s="98"/>
      <c r="AT86" s="98"/>
      <c r="AU86" s="98"/>
      <c r="AV86" s="98"/>
    </row>
    <row r="87" spans="1:195">
      <c r="AP87" s="136"/>
      <c r="AQ87" s="98"/>
      <c r="AR87" s="98"/>
      <c r="AS87" s="98"/>
      <c r="AT87" s="98"/>
      <c r="AU87" s="98"/>
      <c r="AV87" s="98"/>
    </row>
    <row r="88" spans="1:195">
      <c r="AP88" s="136"/>
      <c r="AQ88" s="98"/>
      <c r="AR88" s="98"/>
      <c r="AS88" s="98"/>
      <c r="AT88" s="98"/>
      <c r="AU88" s="98"/>
      <c r="AV88" s="98"/>
    </row>
    <row r="89" spans="1:195">
      <c r="AP89" s="136"/>
      <c r="AQ89" s="98"/>
      <c r="AR89" s="98"/>
      <c r="AS89" s="98"/>
      <c r="AT89" s="98"/>
      <c r="AU89" s="98"/>
      <c r="AV89" s="98"/>
    </row>
    <row r="90" spans="1:195">
      <c r="AP90" s="136"/>
      <c r="AQ90" s="98"/>
      <c r="AR90" s="98"/>
      <c r="AS90" s="98"/>
      <c r="AT90" s="98"/>
      <c r="AU90" s="98"/>
      <c r="AV90" s="98"/>
      <c r="AW90" s="98"/>
      <c r="AX90" s="98"/>
      <c r="AY90" s="98"/>
      <c r="AZ90" s="98"/>
      <c r="BA90" s="98"/>
    </row>
    <row r="91" spans="1:195">
      <c r="AP91" s="136"/>
      <c r="AQ91" s="98"/>
      <c r="AR91" s="98"/>
      <c r="AS91" s="98"/>
      <c r="AT91" s="98"/>
      <c r="AU91" s="98"/>
      <c r="AV91" s="98"/>
      <c r="AW91" s="98"/>
      <c r="AX91" s="98"/>
      <c r="AY91" s="98"/>
      <c r="AZ91" s="98"/>
      <c r="BA91" s="98"/>
    </row>
    <row r="92" spans="1:195">
      <c r="AP92" s="136"/>
      <c r="AQ92" s="98"/>
      <c r="AR92" s="98"/>
      <c r="AS92" s="98"/>
      <c r="AT92" s="98"/>
      <c r="AU92" s="98"/>
      <c r="AV92" s="98"/>
      <c r="AW92" s="98"/>
      <c r="AX92" s="98"/>
      <c r="AY92" s="98"/>
      <c r="AZ92" s="98"/>
      <c r="BA92" s="98"/>
    </row>
    <row r="93" spans="1:195">
      <c r="AP93" s="136"/>
      <c r="AQ93" s="98"/>
      <c r="AR93" s="98"/>
      <c r="AS93" s="98"/>
      <c r="AT93" s="98"/>
      <c r="AU93" s="98"/>
      <c r="AV93" s="98"/>
      <c r="AW93" s="98"/>
      <c r="AX93" s="98"/>
      <c r="AY93" s="98"/>
      <c r="AZ93" s="98"/>
      <c r="BA93" s="98"/>
    </row>
  </sheetData>
  <mergeCells count="1">
    <mergeCell ref="AK3:AM3"/>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ransitionEvaluation="1" codeName="Sheet9"/>
  <dimension ref="A1:B33"/>
  <sheetViews>
    <sheetView defaultGridColor="0" colorId="22" zoomScale="87" workbookViewId="0">
      <selection activeCell="A5" sqref="A5"/>
    </sheetView>
  </sheetViews>
  <sheetFormatPr defaultColWidth="12.42578125" defaultRowHeight="15"/>
  <cols>
    <col min="1" max="16384" width="12.42578125" style="96"/>
  </cols>
  <sheetData>
    <row r="1" spans="1:2">
      <c r="A1" s="99" t="s">
        <v>379</v>
      </c>
      <c r="B1" s="99"/>
    </row>
    <row r="3" spans="1:2">
      <c r="A3" s="99" t="s">
        <v>380</v>
      </c>
    </row>
    <row r="4" spans="1:2">
      <c r="A4" s="99" t="s">
        <v>381</v>
      </c>
    </row>
    <row r="5" spans="1:2">
      <c r="A5" s="99" t="s">
        <v>382</v>
      </c>
    </row>
    <row r="6" spans="1:2">
      <c r="A6" s="99" t="s">
        <v>383</v>
      </c>
    </row>
    <row r="7" spans="1:2">
      <c r="A7" s="99" t="s">
        <v>384</v>
      </c>
    </row>
    <row r="8" spans="1:2">
      <c r="A8" s="99" t="s">
        <v>385</v>
      </c>
    </row>
    <row r="9" spans="1:2">
      <c r="A9" s="99" t="s">
        <v>386</v>
      </c>
    </row>
    <row r="10" spans="1:2">
      <c r="A10" s="99" t="s">
        <v>387</v>
      </c>
    </row>
    <row r="11" spans="1:2">
      <c r="A11" s="99" t="s">
        <v>388</v>
      </c>
    </row>
    <row r="12" spans="1:2">
      <c r="A12" s="99" t="s">
        <v>389</v>
      </c>
    </row>
    <row r="13" spans="1:2">
      <c r="A13" s="99" t="s">
        <v>390</v>
      </c>
    </row>
    <row r="16" spans="1:2">
      <c r="A16" s="101" t="s">
        <v>391</v>
      </c>
    </row>
    <row r="17" spans="1:2">
      <c r="A17" s="96" t="s">
        <v>118</v>
      </c>
      <c r="B17" s="96" t="s">
        <v>392</v>
      </c>
    </row>
    <row r="18" spans="1:2">
      <c r="A18" s="96" t="s">
        <v>393</v>
      </c>
      <c r="B18" s="96" t="s">
        <v>394</v>
      </c>
    </row>
    <row r="19" spans="1:2">
      <c r="A19" s="96" t="s">
        <v>122</v>
      </c>
      <c r="B19" s="96" t="s">
        <v>395</v>
      </c>
    </row>
    <row r="20" spans="1:2">
      <c r="A20" s="96" t="s">
        <v>396</v>
      </c>
      <c r="B20" s="96" t="s">
        <v>397</v>
      </c>
    </row>
    <row r="21" spans="1:2">
      <c r="A21" s="96" t="s">
        <v>398</v>
      </c>
      <c r="B21" s="96" t="s">
        <v>399</v>
      </c>
    </row>
    <row r="22" spans="1:2">
      <c r="A22" s="96" t="s">
        <v>121</v>
      </c>
      <c r="B22" s="96" t="s">
        <v>400</v>
      </c>
    </row>
    <row r="23" spans="1:2">
      <c r="A23" s="96" t="s">
        <v>401</v>
      </c>
      <c r="B23" s="96" t="s">
        <v>402</v>
      </c>
    </row>
    <row r="24" spans="1:2">
      <c r="A24" s="96" t="s">
        <v>403</v>
      </c>
      <c r="B24" s="96" t="s">
        <v>404</v>
      </c>
    </row>
    <row r="25" spans="1:2">
      <c r="A25" s="96" t="s">
        <v>405</v>
      </c>
      <c r="B25" s="96" t="s">
        <v>406</v>
      </c>
    </row>
    <row r="26" spans="1:2">
      <c r="A26" s="96" t="s">
        <v>407</v>
      </c>
      <c r="B26" s="96" t="s">
        <v>408</v>
      </c>
    </row>
    <row r="27" spans="1:2">
      <c r="A27" s="96" t="s">
        <v>248</v>
      </c>
      <c r="B27" s="96" t="s">
        <v>409</v>
      </c>
    </row>
    <row r="28" spans="1:2">
      <c r="A28" s="96" t="s">
        <v>23</v>
      </c>
      <c r="B28" s="96" t="s">
        <v>410</v>
      </c>
    </row>
    <row r="29" spans="1:2">
      <c r="A29" s="96" t="s">
        <v>411</v>
      </c>
      <c r="B29" s="96" t="s">
        <v>412</v>
      </c>
    </row>
    <row r="30" spans="1:2">
      <c r="A30" s="96" t="s">
        <v>413</v>
      </c>
      <c r="B30" s="96" t="s">
        <v>414</v>
      </c>
    </row>
    <row r="31" spans="1:2">
      <c r="A31" s="96" t="s">
        <v>415</v>
      </c>
      <c r="B31" s="96" t="s">
        <v>416</v>
      </c>
    </row>
    <row r="32" spans="1:2">
      <c r="A32" s="96" t="s">
        <v>417</v>
      </c>
      <c r="B32" s="96" t="s">
        <v>418</v>
      </c>
    </row>
    <row r="33" spans="1:2">
      <c r="A33" s="96" t="s">
        <v>419</v>
      </c>
      <c r="B33" s="99" t="s">
        <v>420</v>
      </c>
    </row>
  </sheetData>
  <pageMargins left="0.5" right="0.5" top="0.5" bottom="0.5" header="0.5" footer="0.5"/>
  <pageSetup scale="34"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1"/>
  <dimension ref="A1:AF115"/>
  <sheetViews>
    <sheetView showGridLines="0" zoomScale="80" zoomScaleNormal="80" workbookViewId="0">
      <pane xSplit="2" topLeftCell="C1" activePane="topRight" state="frozen"/>
      <selection pane="topRight" activeCell="AH12" sqref="AH12"/>
    </sheetView>
  </sheetViews>
  <sheetFormatPr defaultRowHeight="12.75"/>
  <cols>
    <col min="1" max="1" width="9.140625" style="1"/>
    <col min="2" max="2" width="34" style="3" bestFit="1" customWidth="1"/>
    <col min="3" max="3" width="5.7109375" style="1" bestFit="1" customWidth="1"/>
    <col min="4" max="4" width="6.7109375" style="1" bestFit="1" customWidth="1"/>
    <col min="5" max="5" width="24.7109375" style="3" bestFit="1" customWidth="1"/>
    <col min="6" max="6" width="40" style="3" bestFit="1" customWidth="1"/>
    <col min="7" max="7" width="29" style="3" customWidth="1"/>
    <col min="8" max="12" width="9.140625" style="1"/>
    <col min="13" max="13" width="11.28515625" style="1" bestFit="1" customWidth="1"/>
    <col min="14" max="14" width="9.140625" style="1"/>
    <col min="15" max="15" width="9.140625" style="6"/>
    <col min="16" max="16" width="43.140625" style="6" bestFit="1" customWidth="1"/>
    <col min="17" max="17" width="12.5703125" style="1" bestFit="1" customWidth="1"/>
    <col min="18" max="18" width="12.140625" style="1" customWidth="1"/>
    <col min="19" max="19" width="20.42578125" style="1" bestFit="1" customWidth="1"/>
    <col min="20" max="20" width="12" style="1" bestFit="1" customWidth="1"/>
    <col min="21" max="21" width="16.85546875" style="1" bestFit="1" customWidth="1"/>
    <col min="22" max="22" width="9.140625" style="1"/>
    <col min="23" max="24" width="7.140625" style="1" bestFit="1" customWidth="1"/>
    <col min="25" max="25" width="7.42578125" style="1" bestFit="1" customWidth="1"/>
    <col min="26" max="26" width="8.28515625" style="1" bestFit="1" customWidth="1"/>
    <col min="27" max="27" width="12.7109375" style="1" bestFit="1" customWidth="1"/>
    <col min="28" max="28" width="9.85546875" style="1" bestFit="1" customWidth="1"/>
    <col min="29" max="29" width="10" style="1" bestFit="1" customWidth="1"/>
    <col min="30" max="30" width="7.140625" style="1" bestFit="1" customWidth="1"/>
    <col min="31" max="31" width="16.7109375" style="1" bestFit="1" customWidth="1"/>
    <col min="32" max="32" width="12" style="1" bestFit="1" customWidth="1"/>
    <col min="33" max="35" width="9.140625" style="1" customWidth="1"/>
    <col min="36" max="16384" width="9.140625" style="1"/>
  </cols>
  <sheetData>
    <row r="1" spans="1:32">
      <c r="H1" s="358" t="s">
        <v>421</v>
      </c>
      <c r="I1" s="359"/>
      <c r="J1" s="359"/>
      <c r="K1" s="359"/>
      <c r="L1" s="359"/>
      <c r="M1" s="359"/>
      <c r="N1" s="359"/>
      <c r="O1" s="362" t="s">
        <v>422</v>
      </c>
      <c r="P1" s="363"/>
      <c r="Q1" s="358" t="s">
        <v>423</v>
      </c>
      <c r="R1" s="359"/>
      <c r="S1" s="359"/>
      <c r="T1" s="359"/>
      <c r="U1" s="360"/>
      <c r="V1" s="359" t="s">
        <v>424</v>
      </c>
      <c r="W1" s="361"/>
      <c r="X1" s="361"/>
      <c r="Y1" s="361"/>
      <c r="Z1" s="361"/>
      <c r="AA1" s="361"/>
      <c r="AB1" s="359"/>
      <c r="AC1" s="358" t="s">
        <v>425</v>
      </c>
      <c r="AD1" s="359"/>
      <c r="AE1" s="359"/>
      <c r="AF1" s="359"/>
    </row>
    <row r="2" spans="1:32">
      <c r="H2" s="317"/>
      <c r="I2" s="318"/>
      <c r="J2" s="318"/>
      <c r="K2" s="318"/>
      <c r="L2" s="318"/>
      <c r="M2" s="318"/>
      <c r="N2" s="318"/>
      <c r="O2" s="20"/>
      <c r="P2" s="17"/>
      <c r="Q2" s="317"/>
      <c r="R2" s="318"/>
      <c r="S2" s="318"/>
      <c r="T2" s="318"/>
      <c r="U2" s="319"/>
      <c r="V2" s="318"/>
      <c r="W2" s="320"/>
      <c r="X2" s="320"/>
      <c r="Y2" s="320"/>
      <c r="Z2" s="320"/>
      <c r="AA2" s="320"/>
      <c r="AB2" s="318"/>
      <c r="AC2" s="10"/>
    </row>
    <row r="3" spans="1:32">
      <c r="H3" s="8" t="s">
        <v>426</v>
      </c>
      <c r="I3" s="4" t="s">
        <v>427</v>
      </c>
      <c r="J3" s="4" t="s">
        <v>428</v>
      </c>
      <c r="K3" s="4" t="s">
        <v>429</v>
      </c>
      <c r="L3" s="4" t="s">
        <v>430</v>
      </c>
      <c r="M3" s="4" t="s">
        <v>431</v>
      </c>
      <c r="N3" s="11"/>
      <c r="O3" s="21" t="s">
        <v>432</v>
      </c>
      <c r="P3" s="18"/>
      <c r="Q3" s="8" t="s">
        <v>433</v>
      </c>
      <c r="R3" s="11"/>
      <c r="S3" s="4" t="s">
        <v>434</v>
      </c>
      <c r="T3" s="4" t="s">
        <v>435</v>
      </c>
      <c r="U3" s="26" t="s">
        <v>436</v>
      </c>
      <c r="V3" s="11"/>
      <c r="W3" s="4"/>
      <c r="X3" s="4" t="s">
        <v>437</v>
      </c>
      <c r="Y3" s="4" t="s">
        <v>438</v>
      </c>
      <c r="Z3" s="4" t="s">
        <v>429</v>
      </c>
      <c r="AA3" s="4" t="s">
        <v>439</v>
      </c>
      <c r="AB3" s="4" t="s">
        <v>440</v>
      </c>
      <c r="AC3" s="8" t="s">
        <v>441</v>
      </c>
      <c r="AD3" s="2" t="s">
        <v>442</v>
      </c>
      <c r="AE3" s="2" t="s">
        <v>443</v>
      </c>
      <c r="AF3" s="2" t="s">
        <v>444</v>
      </c>
    </row>
    <row r="4" spans="1:32" ht="15">
      <c r="H4" s="8" t="s">
        <v>445</v>
      </c>
      <c r="I4" s="4" t="s">
        <v>446</v>
      </c>
      <c r="J4" s="4" t="s">
        <v>446</v>
      </c>
      <c r="K4" s="4" t="s">
        <v>446</v>
      </c>
      <c r="L4" s="4" t="s">
        <v>447</v>
      </c>
      <c r="M4" s="4" t="s">
        <v>447</v>
      </c>
      <c r="N4" s="4" t="s">
        <v>448</v>
      </c>
      <c r="O4" s="21" t="s">
        <v>449</v>
      </c>
      <c r="P4" s="18" t="s">
        <v>450</v>
      </c>
      <c r="Q4" s="8" t="s">
        <v>145</v>
      </c>
      <c r="R4" s="4" t="s">
        <v>451</v>
      </c>
      <c r="S4" s="4" t="s">
        <v>452</v>
      </c>
      <c r="T4" s="4" t="s">
        <v>453</v>
      </c>
      <c r="U4" s="26" t="s">
        <v>454</v>
      </c>
      <c r="V4" s="11"/>
      <c r="W4" s="4" t="s">
        <v>445</v>
      </c>
      <c r="X4" s="4" t="s">
        <v>446</v>
      </c>
      <c r="Y4" s="4" t="s">
        <v>446</v>
      </c>
      <c r="Z4" s="4" t="s">
        <v>446</v>
      </c>
      <c r="AA4" s="4" t="s">
        <v>455</v>
      </c>
      <c r="AB4" s="4" t="s">
        <v>166</v>
      </c>
      <c r="AC4" s="8" t="s">
        <v>456</v>
      </c>
      <c r="AD4" s="4" t="s">
        <v>457</v>
      </c>
      <c r="AE4" s="4" t="s">
        <v>458</v>
      </c>
      <c r="AF4" s="2" t="s">
        <v>459</v>
      </c>
    </row>
    <row r="5" spans="1:32" ht="15.75">
      <c r="H5" s="23" t="s">
        <v>460</v>
      </c>
      <c r="I5" s="24" t="s">
        <v>461</v>
      </c>
      <c r="J5" s="24" t="s">
        <v>462</v>
      </c>
      <c r="K5" s="24" t="s">
        <v>463</v>
      </c>
      <c r="L5" s="24" t="s">
        <v>464</v>
      </c>
      <c r="M5" s="24" t="s">
        <v>465</v>
      </c>
      <c r="N5" s="24" t="s">
        <v>175</v>
      </c>
      <c r="O5" s="25" t="s">
        <v>466</v>
      </c>
      <c r="P5" s="18"/>
      <c r="Q5" s="23" t="s">
        <v>176</v>
      </c>
      <c r="R5" s="24" t="s">
        <v>177</v>
      </c>
      <c r="S5" s="24" t="s">
        <v>467</v>
      </c>
      <c r="T5" s="24" t="s">
        <v>468</v>
      </c>
      <c r="U5" s="29" t="s">
        <v>469</v>
      </c>
      <c r="W5" s="2" t="s">
        <v>470</v>
      </c>
      <c r="X5" s="2" t="s">
        <v>471</v>
      </c>
      <c r="Y5" s="2" t="s">
        <v>472</v>
      </c>
      <c r="Z5" s="2" t="s">
        <v>473</v>
      </c>
      <c r="AA5" s="2" t="s">
        <v>186</v>
      </c>
      <c r="AB5" s="4" t="s">
        <v>474</v>
      </c>
      <c r="AC5" s="8" t="s">
        <v>475</v>
      </c>
      <c r="AD5" s="4" t="s">
        <v>475</v>
      </c>
      <c r="AE5" s="4" t="s">
        <v>475</v>
      </c>
      <c r="AF5" s="4" t="s">
        <v>475</v>
      </c>
    </row>
    <row r="6" spans="1:32">
      <c r="C6" s="10"/>
      <c r="H6" s="8"/>
      <c r="I6" s="4"/>
      <c r="J6" s="4"/>
      <c r="K6" s="4"/>
      <c r="L6" s="4"/>
      <c r="M6" s="4"/>
      <c r="N6" s="11"/>
      <c r="O6" s="20"/>
      <c r="P6" s="17"/>
      <c r="Q6" s="10"/>
      <c r="R6" s="11"/>
      <c r="S6" s="11"/>
      <c r="T6" s="11"/>
      <c r="U6" s="27"/>
      <c r="V6" s="2" t="s">
        <v>476</v>
      </c>
      <c r="AB6" s="11"/>
      <c r="AC6" s="10"/>
    </row>
    <row r="7" spans="1:32" ht="15" thickBot="1">
      <c r="A7" s="12"/>
      <c r="B7" s="13" t="s">
        <v>477</v>
      </c>
      <c r="C7" s="14" t="s">
        <v>478</v>
      </c>
      <c r="D7" s="13" t="s">
        <v>479</v>
      </c>
      <c r="E7" s="13" t="s">
        <v>6</v>
      </c>
      <c r="F7" s="13" t="s">
        <v>480</v>
      </c>
      <c r="G7" s="13" t="s">
        <v>110</v>
      </c>
      <c r="H7" s="15" t="s">
        <v>23</v>
      </c>
      <c r="I7" s="16" t="s">
        <v>23</v>
      </c>
      <c r="J7" s="16" t="s">
        <v>23</v>
      </c>
      <c r="K7" s="16" t="s">
        <v>23</v>
      </c>
      <c r="L7" s="16" t="s">
        <v>481</v>
      </c>
      <c r="M7" s="16" t="s">
        <v>481</v>
      </c>
      <c r="N7" s="16" t="s">
        <v>23</v>
      </c>
      <c r="O7" s="22" t="s">
        <v>482</v>
      </c>
      <c r="P7" s="19"/>
      <c r="Q7" s="15" t="s">
        <v>483</v>
      </c>
      <c r="R7" s="16" t="s">
        <v>484</v>
      </c>
      <c r="S7" s="16" t="s">
        <v>483</v>
      </c>
      <c r="T7" s="16" t="s">
        <v>23</v>
      </c>
      <c r="U7" s="28" t="s">
        <v>485</v>
      </c>
      <c r="V7" s="16" t="s">
        <v>486</v>
      </c>
      <c r="W7" s="16" t="s">
        <v>23</v>
      </c>
      <c r="X7" s="16" t="s">
        <v>23</v>
      </c>
      <c r="Y7" s="16" t="s">
        <v>23</v>
      </c>
      <c r="Z7" s="16" t="s">
        <v>23</v>
      </c>
      <c r="AA7" s="16" t="s">
        <v>481</v>
      </c>
      <c r="AB7" s="16" t="s">
        <v>483</v>
      </c>
      <c r="AC7" s="15" t="s">
        <v>487</v>
      </c>
      <c r="AD7" s="16" t="s">
        <v>487</v>
      </c>
      <c r="AE7" s="16" t="s">
        <v>487</v>
      </c>
      <c r="AF7" s="16" t="s">
        <v>487</v>
      </c>
    </row>
    <row r="8" spans="1:32" ht="13.5" thickTop="1">
      <c r="A8" s="1">
        <v>1</v>
      </c>
      <c r="B8" s="3" t="s">
        <v>488</v>
      </c>
      <c r="C8" s="10">
        <v>1920</v>
      </c>
      <c r="D8" s="1">
        <v>1923</v>
      </c>
      <c r="E8" s="7" t="s">
        <v>15</v>
      </c>
      <c r="F8" s="7" t="s">
        <v>489</v>
      </c>
      <c r="G8" s="7" t="s">
        <v>239</v>
      </c>
      <c r="H8" s="20">
        <v>34.14</v>
      </c>
      <c r="I8" s="17">
        <v>4.88</v>
      </c>
      <c r="J8" s="17">
        <v>160</v>
      </c>
      <c r="K8" s="17">
        <v>82.4</v>
      </c>
      <c r="L8" s="18">
        <v>3</v>
      </c>
      <c r="M8" s="17">
        <v>2</v>
      </c>
      <c r="N8" s="17"/>
      <c r="O8" s="65">
        <v>6850</v>
      </c>
      <c r="P8" s="6" t="s">
        <v>237</v>
      </c>
      <c r="Q8" s="33">
        <v>22500000</v>
      </c>
      <c r="R8" s="34">
        <v>259000</v>
      </c>
      <c r="S8" s="34">
        <v>22200000</v>
      </c>
      <c r="T8" s="62">
        <v>28</v>
      </c>
      <c r="U8" s="68">
        <v>622000000</v>
      </c>
      <c r="V8" s="2" t="s">
        <v>238</v>
      </c>
      <c r="W8" s="80">
        <v>31.1</v>
      </c>
      <c r="X8" s="80">
        <v>91.5</v>
      </c>
      <c r="Y8" s="80">
        <v>81.5</v>
      </c>
      <c r="Z8" s="80">
        <v>93</v>
      </c>
      <c r="AA8" s="80">
        <v>0.44</v>
      </c>
      <c r="AB8" s="72">
        <v>238000</v>
      </c>
      <c r="AC8" s="30">
        <v>0.75</v>
      </c>
      <c r="AD8" s="31">
        <v>2.5</v>
      </c>
      <c r="AE8" s="31">
        <v>2.5</v>
      </c>
      <c r="AF8" s="31"/>
    </row>
    <row r="9" spans="1:32">
      <c r="A9" s="1">
        <v>2</v>
      </c>
      <c r="B9" s="3" t="s">
        <v>490</v>
      </c>
      <c r="C9" s="10">
        <v>1951</v>
      </c>
      <c r="D9" s="1">
        <v>1963</v>
      </c>
      <c r="E9" s="7" t="s">
        <v>15</v>
      </c>
      <c r="F9" s="3" t="s">
        <v>241</v>
      </c>
      <c r="G9" s="7" t="s">
        <v>243</v>
      </c>
      <c r="H9" s="20">
        <v>71</v>
      </c>
      <c r="I9" s="17">
        <v>19.2</v>
      </c>
      <c r="J9" s="17">
        <v>100</v>
      </c>
      <c r="K9" s="17">
        <v>59.6</v>
      </c>
      <c r="L9" s="17">
        <v>2</v>
      </c>
      <c r="M9" s="17">
        <v>1.8</v>
      </c>
      <c r="N9" s="17">
        <v>198</v>
      </c>
      <c r="O9" s="65">
        <v>1130</v>
      </c>
      <c r="P9" s="6" t="s">
        <v>237</v>
      </c>
      <c r="Q9" s="33">
        <v>1100000</v>
      </c>
      <c r="R9" s="34">
        <v>76900</v>
      </c>
      <c r="S9" s="34">
        <v>910000</v>
      </c>
      <c r="T9" s="62">
        <v>12.2</v>
      </c>
      <c r="U9" s="68">
        <v>11100000</v>
      </c>
      <c r="V9" s="2" t="s">
        <v>242</v>
      </c>
      <c r="W9" s="80">
        <v>21.3</v>
      </c>
      <c r="X9" s="80"/>
      <c r="Y9" s="80"/>
      <c r="Z9" s="80">
        <v>25</v>
      </c>
      <c r="AA9" s="80">
        <v>0.31</v>
      </c>
      <c r="AB9" s="72">
        <v>31700</v>
      </c>
      <c r="AC9" s="30">
        <v>0.33</v>
      </c>
      <c r="AD9" s="31">
        <v>1.3</v>
      </c>
      <c r="AE9" s="31">
        <v>1.3</v>
      </c>
      <c r="AF9" s="31"/>
    </row>
    <row r="10" spans="1:32">
      <c r="A10" s="1">
        <v>3</v>
      </c>
      <c r="B10" s="7" t="s">
        <v>491</v>
      </c>
      <c r="C10" s="10">
        <v>1963</v>
      </c>
      <c r="D10" s="1">
        <v>1976</v>
      </c>
      <c r="E10" s="7" t="s">
        <v>245</v>
      </c>
      <c r="F10" s="3" t="s">
        <v>241</v>
      </c>
      <c r="G10" s="7" t="s">
        <v>246</v>
      </c>
      <c r="H10" s="20"/>
      <c r="I10" s="17">
        <v>3.1</v>
      </c>
      <c r="J10" s="17"/>
      <c r="K10" s="17">
        <v>14</v>
      </c>
      <c r="L10" s="17"/>
      <c r="M10" s="17"/>
      <c r="N10" s="17"/>
      <c r="O10" s="65"/>
      <c r="Q10" s="33"/>
      <c r="R10" s="34"/>
      <c r="S10" s="34">
        <v>49300</v>
      </c>
      <c r="T10" s="62">
        <v>5.79</v>
      </c>
      <c r="U10" s="68">
        <v>285000</v>
      </c>
      <c r="W10" s="80">
        <v>6.4</v>
      </c>
      <c r="X10" s="80"/>
      <c r="Y10" s="80"/>
      <c r="Z10" s="80">
        <v>12.2</v>
      </c>
      <c r="AA10" s="80">
        <v>1.43</v>
      </c>
      <c r="AB10" s="72">
        <v>1090</v>
      </c>
      <c r="AC10" s="30"/>
      <c r="AD10" s="31"/>
      <c r="AE10" s="31"/>
      <c r="AF10" s="31"/>
    </row>
    <row r="11" spans="1:32">
      <c r="A11" s="1">
        <v>4</v>
      </c>
      <c r="B11" s="7" t="s">
        <v>492</v>
      </c>
      <c r="C11" s="10">
        <v>1863</v>
      </c>
      <c r="D11" s="1">
        <v>1864</v>
      </c>
      <c r="E11" s="7" t="s">
        <v>15</v>
      </c>
      <c r="F11" s="7" t="s">
        <v>493</v>
      </c>
      <c r="G11" s="7" t="s">
        <v>494</v>
      </c>
      <c r="H11" s="20">
        <v>28.96</v>
      </c>
      <c r="I11" s="17"/>
      <c r="J11" s="17"/>
      <c r="K11" s="17">
        <v>50</v>
      </c>
      <c r="L11" s="17"/>
      <c r="M11" s="17"/>
      <c r="N11" s="17">
        <v>382</v>
      </c>
      <c r="O11" s="65">
        <v>1150</v>
      </c>
      <c r="P11" s="6" t="s">
        <v>275</v>
      </c>
      <c r="Q11" s="33">
        <v>3200000</v>
      </c>
      <c r="R11" s="34"/>
      <c r="S11" s="34"/>
      <c r="T11" s="62"/>
      <c r="U11" s="68"/>
      <c r="W11" s="80"/>
      <c r="X11" s="80"/>
      <c r="Y11" s="80"/>
      <c r="Z11" s="80"/>
      <c r="AA11" s="80"/>
      <c r="AB11" s="72"/>
      <c r="AC11" s="30"/>
      <c r="AD11" s="32" t="s">
        <v>495</v>
      </c>
      <c r="AE11" s="31"/>
      <c r="AF11" s="31">
        <v>0.75</v>
      </c>
    </row>
    <row r="12" spans="1:32">
      <c r="A12" s="1">
        <v>5</v>
      </c>
      <c r="B12" s="7" t="s">
        <v>496</v>
      </c>
      <c r="C12" s="10">
        <v>1877</v>
      </c>
      <c r="D12" s="1">
        <v>1902</v>
      </c>
      <c r="E12" s="7"/>
      <c r="G12" s="7" t="s">
        <v>403</v>
      </c>
      <c r="H12" s="20">
        <v>7</v>
      </c>
      <c r="I12" s="17"/>
      <c r="J12" s="17"/>
      <c r="K12" s="17">
        <v>86</v>
      </c>
      <c r="L12" s="17"/>
      <c r="M12" s="17"/>
      <c r="N12" s="17"/>
      <c r="O12" s="65">
        <v>9.1999999999999993</v>
      </c>
      <c r="P12" s="6" t="s">
        <v>275</v>
      </c>
      <c r="Q12" s="33">
        <v>49000</v>
      </c>
      <c r="R12" s="34"/>
      <c r="S12" s="34"/>
      <c r="T12" s="62"/>
      <c r="U12" s="68"/>
      <c r="W12" s="80">
        <v>7</v>
      </c>
      <c r="X12" s="80"/>
      <c r="Y12" s="80"/>
      <c r="Z12" s="80">
        <v>30.5</v>
      </c>
      <c r="AA12" s="80"/>
      <c r="AB12" s="72"/>
      <c r="AC12" s="30"/>
      <c r="AD12" s="31">
        <v>3</v>
      </c>
      <c r="AE12" s="31"/>
      <c r="AF12" s="31"/>
    </row>
    <row r="13" spans="1:32">
      <c r="A13" s="35">
        <v>6</v>
      </c>
      <c r="B13" s="36" t="s">
        <v>247</v>
      </c>
      <c r="C13" s="37"/>
      <c r="D13" s="35"/>
      <c r="E13" s="36" t="s">
        <v>9</v>
      </c>
      <c r="F13" s="38"/>
      <c r="G13" s="36" t="s">
        <v>248</v>
      </c>
      <c r="H13" s="39"/>
      <c r="I13" s="40"/>
      <c r="J13" s="40"/>
      <c r="K13" s="40">
        <v>37</v>
      </c>
      <c r="L13" s="40"/>
      <c r="M13" s="40"/>
      <c r="N13" s="40"/>
      <c r="O13" s="66"/>
      <c r="P13" s="40"/>
      <c r="Q13" s="41"/>
      <c r="R13" s="42"/>
      <c r="S13" s="42">
        <v>24700</v>
      </c>
      <c r="T13" s="63">
        <v>6.1</v>
      </c>
      <c r="U13" s="69">
        <v>151000</v>
      </c>
      <c r="V13" s="35"/>
      <c r="W13" s="63">
        <v>6.1</v>
      </c>
      <c r="X13" s="63"/>
      <c r="Y13" s="63"/>
      <c r="Z13" s="63">
        <v>4.72</v>
      </c>
      <c r="AA13" s="63">
        <v>0.73</v>
      </c>
      <c r="AB13" s="42">
        <v>1070</v>
      </c>
      <c r="AC13" s="43"/>
      <c r="AD13" s="44"/>
      <c r="AE13" s="44"/>
      <c r="AF13" s="44"/>
    </row>
    <row r="14" spans="1:32">
      <c r="A14" s="11">
        <v>7</v>
      </c>
      <c r="B14" s="45" t="s">
        <v>497</v>
      </c>
      <c r="C14" s="10">
        <v>1972</v>
      </c>
      <c r="D14" s="11">
        <v>1972</v>
      </c>
      <c r="E14" s="46" t="s">
        <v>250</v>
      </c>
      <c r="F14" s="46" t="s">
        <v>498</v>
      </c>
      <c r="G14" s="46" t="s">
        <v>253</v>
      </c>
      <c r="H14" s="20">
        <v>14.02</v>
      </c>
      <c r="I14" s="17">
        <v>128</v>
      </c>
      <c r="J14" s="17"/>
      <c r="K14" s="17">
        <v>128</v>
      </c>
      <c r="L14" s="17">
        <v>1.6</v>
      </c>
      <c r="M14" s="17">
        <v>1.3</v>
      </c>
      <c r="N14" s="17"/>
      <c r="O14" s="65">
        <v>1420</v>
      </c>
      <c r="P14" s="18" t="s">
        <v>252</v>
      </c>
      <c r="Q14" s="33">
        <v>484000</v>
      </c>
      <c r="R14" s="34">
        <v>52600</v>
      </c>
      <c r="S14" s="34">
        <v>484000</v>
      </c>
      <c r="T14" s="62">
        <v>14.02</v>
      </c>
      <c r="U14" s="68">
        <v>6780000</v>
      </c>
      <c r="V14" s="2" t="s">
        <v>238</v>
      </c>
      <c r="W14" s="62">
        <v>14</v>
      </c>
      <c r="X14" s="62">
        <v>153</v>
      </c>
      <c r="Y14" s="62">
        <v>97</v>
      </c>
      <c r="Z14" s="62">
        <v>125</v>
      </c>
      <c r="AA14" s="62">
        <v>2</v>
      </c>
      <c r="AB14" s="34">
        <v>319000</v>
      </c>
      <c r="AC14" s="30"/>
      <c r="AD14" s="47">
        <v>0.5</v>
      </c>
      <c r="AE14" s="47">
        <v>0.5</v>
      </c>
      <c r="AF14" s="47"/>
    </row>
    <row r="15" spans="1:32">
      <c r="A15" s="11">
        <v>8</v>
      </c>
      <c r="B15" s="45" t="s">
        <v>254</v>
      </c>
      <c r="C15" s="10">
        <v>1971</v>
      </c>
      <c r="D15" s="11">
        <v>1971</v>
      </c>
      <c r="E15" s="46" t="s">
        <v>15</v>
      </c>
      <c r="F15" s="45" t="s">
        <v>241</v>
      </c>
      <c r="G15" s="46" t="s">
        <v>255</v>
      </c>
      <c r="H15" s="20">
        <v>5.79</v>
      </c>
      <c r="I15" s="17">
        <v>4.3</v>
      </c>
      <c r="J15" s="17"/>
      <c r="K15" s="17">
        <v>18.600000000000001</v>
      </c>
      <c r="L15" s="17">
        <v>2</v>
      </c>
      <c r="M15" s="17">
        <v>3</v>
      </c>
      <c r="N15" s="17"/>
      <c r="O15" s="65"/>
      <c r="P15" s="17"/>
      <c r="Q15" s="33">
        <v>1130000</v>
      </c>
      <c r="R15" s="34"/>
      <c r="S15" s="34">
        <v>740000</v>
      </c>
      <c r="T15" s="62">
        <v>3.05</v>
      </c>
      <c r="U15" s="68">
        <v>2260000</v>
      </c>
      <c r="V15" s="2" t="s">
        <v>238</v>
      </c>
      <c r="W15" s="62">
        <v>5.79</v>
      </c>
      <c r="X15" s="62">
        <v>13.6</v>
      </c>
      <c r="Y15" s="62">
        <v>11</v>
      </c>
      <c r="Z15" s="62">
        <v>12.5</v>
      </c>
      <c r="AA15" s="62">
        <v>0.21</v>
      </c>
      <c r="AB15" s="34">
        <v>1350</v>
      </c>
      <c r="AC15" s="30"/>
      <c r="AD15" s="47"/>
      <c r="AE15" s="47"/>
      <c r="AF15" s="47"/>
    </row>
    <row r="16" spans="1:32">
      <c r="A16" s="11">
        <v>9</v>
      </c>
      <c r="B16" s="46" t="s">
        <v>256</v>
      </c>
      <c r="C16" s="10"/>
      <c r="D16" s="11">
        <v>1982</v>
      </c>
      <c r="E16" s="46" t="s">
        <v>9</v>
      </c>
      <c r="F16" s="45" t="s">
        <v>241</v>
      </c>
      <c r="G16" s="46" t="s">
        <v>258</v>
      </c>
      <c r="H16" s="20"/>
      <c r="I16" s="17"/>
      <c r="J16" s="17"/>
      <c r="K16" s="17">
        <v>9.6300000000000008</v>
      </c>
      <c r="L16" s="17"/>
      <c r="M16" s="17"/>
      <c r="N16" s="17"/>
      <c r="O16" s="65">
        <v>810</v>
      </c>
      <c r="P16" s="18" t="s">
        <v>499</v>
      </c>
      <c r="Q16" s="33"/>
      <c r="R16" s="34"/>
      <c r="S16" s="34">
        <v>2380000</v>
      </c>
      <c r="T16" s="62">
        <v>7.16</v>
      </c>
      <c r="U16" s="68">
        <v>17000000</v>
      </c>
      <c r="V16" s="11"/>
      <c r="W16" s="62">
        <v>7.16</v>
      </c>
      <c r="X16" s="62"/>
      <c r="Y16" s="62"/>
      <c r="Z16" s="62">
        <v>62.5</v>
      </c>
      <c r="AA16" s="62">
        <v>0.85</v>
      </c>
      <c r="AB16" s="34">
        <v>4310</v>
      </c>
      <c r="AC16" s="30"/>
      <c r="AD16" s="47"/>
      <c r="AE16" s="47"/>
      <c r="AF16" s="47"/>
    </row>
    <row r="17" spans="1:32">
      <c r="A17" s="5">
        <v>10</v>
      </c>
      <c r="B17" s="48" t="s">
        <v>500</v>
      </c>
      <c r="C17" s="49">
        <v>1938</v>
      </c>
      <c r="D17" s="5">
        <v>1972</v>
      </c>
      <c r="E17" s="48" t="s">
        <v>9</v>
      </c>
      <c r="F17" s="50"/>
      <c r="G17" s="48" t="s">
        <v>494</v>
      </c>
      <c r="H17" s="51">
        <v>6.1</v>
      </c>
      <c r="I17" s="52"/>
      <c r="J17" s="52"/>
      <c r="K17" s="52"/>
      <c r="L17" s="52"/>
      <c r="M17" s="52"/>
      <c r="N17" s="52">
        <v>152</v>
      </c>
      <c r="O17" s="67"/>
      <c r="P17" s="52"/>
      <c r="Q17" s="53">
        <v>985000</v>
      </c>
      <c r="R17" s="54"/>
      <c r="S17" s="54"/>
      <c r="T17" s="64"/>
      <c r="U17" s="70"/>
      <c r="V17" s="5"/>
      <c r="W17" s="64"/>
      <c r="X17" s="64"/>
      <c r="Y17" s="64"/>
      <c r="Z17" s="64"/>
      <c r="AA17" s="64"/>
      <c r="AB17" s="54"/>
      <c r="AC17" s="55"/>
      <c r="AD17" s="56">
        <v>0.1</v>
      </c>
      <c r="AE17" s="56"/>
      <c r="AF17" s="56"/>
    </row>
    <row r="18" spans="1:32">
      <c r="A18" s="1">
        <v>11</v>
      </c>
      <c r="B18" s="3" t="s">
        <v>501</v>
      </c>
      <c r="C18" s="10">
        <v>1890</v>
      </c>
      <c r="D18" s="1">
        <v>1933</v>
      </c>
      <c r="E18" s="7" t="s">
        <v>9</v>
      </c>
      <c r="F18" s="7" t="s">
        <v>260</v>
      </c>
      <c r="G18" s="7" t="s">
        <v>261</v>
      </c>
      <c r="H18" s="20">
        <v>21.34</v>
      </c>
      <c r="I18" s="17">
        <v>4.9000000000000004</v>
      </c>
      <c r="J18" s="17"/>
      <c r="K18" s="17">
        <v>47.4</v>
      </c>
      <c r="L18" s="17">
        <v>3</v>
      </c>
      <c r="M18" s="17">
        <v>1</v>
      </c>
      <c r="N18" s="17"/>
      <c r="O18" s="65">
        <v>3570</v>
      </c>
      <c r="P18" s="75" t="s">
        <v>237</v>
      </c>
      <c r="Q18" s="33">
        <v>4230000</v>
      </c>
      <c r="R18" s="34">
        <v>809000</v>
      </c>
      <c r="S18" s="34">
        <v>6170000</v>
      </c>
      <c r="T18" s="62">
        <v>21.6</v>
      </c>
      <c r="U18" s="68">
        <v>133000000</v>
      </c>
      <c r="V18" s="2" t="s">
        <v>238</v>
      </c>
      <c r="W18" s="80">
        <v>21.3</v>
      </c>
      <c r="X18" s="80">
        <v>54.9</v>
      </c>
      <c r="Y18" s="80">
        <v>33.5</v>
      </c>
      <c r="Z18" s="80">
        <v>44.2</v>
      </c>
      <c r="AA18" s="80">
        <v>0.5</v>
      </c>
      <c r="AB18" s="72">
        <v>55700</v>
      </c>
      <c r="AC18" s="30">
        <v>0.5</v>
      </c>
      <c r="AD18" s="31"/>
      <c r="AE18" s="31">
        <v>0.33</v>
      </c>
      <c r="AF18" s="31"/>
    </row>
    <row r="19" spans="1:32">
      <c r="A19" s="1">
        <v>12</v>
      </c>
      <c r="B19" s="7" t="s">
        <v>262</v>
      </c>
      <c r="C19" s="10"/>
      <c r="E19" s="7" t="s">
        <v>263</v>
      </c>
      <c r="G19" s="7" t="s">
        <v>248</v>
      </c>
      <c r="H19" s="20"/>
      <c r="I19" s="17"/>
      <c r="J19" s="17"/>
      <c r="K19" s="17">
        <v>32</v>
      </c>
      <c r="L19" s="17"/>
      <c r="M19" s="17"/>
      <c r="N19" s="17"/>
      <c r="O19" s="65"/>
      <c r="Q19" s="33"/>
      <c r="R19" s="34"/>
      <c r="S19" s="34">
        <v>698000</v>
      </c>
      <c r="T19" s="62">
        <v>11.1</v>
      </c>
      <c r="U19" s="68">
        <v>7750000</v>
      </c>
      <c r="W19" s="80">
        <v>12.2</v>
      </c>
      <c r="X19" s="80"/>
      <c r="Y19" s="80"/>
      <c r="Z19" s="80">
        <v>35.1</v>
      </c>
      <c r="AA19" s="80">
        <v>1.38</v>
      </c>
      <c r="AB19" s="72">
        <v>13700</v>
      </c>
      <c r="AC19" s="30"/>
      <c r="AD19" s="31"/>
      <c r="AE19" s="31"/>
      <c r="AF19" s="31"/>
    </row>
    <row r="20" spans="1:32">
      <c r="A20" s="1">
        <v>13</v>
      </c>
      <c r="B20" s="3" t="s">
        <v>502</v>
      </c>
      <c r="C20" s="10">
        <v>1970</v>
      </c>
      <c r="D20" s="1">
        <v>1970</v>
      </c>
      <c r="E20" s="7" t="s">
        <v>9</v>
      </c>
      <c r="F20" s="7" t="s">
        <v>290</v>
      </c>
      <c r="G20" s="7" t="s">
        <v>276</v>
      </c>
      <c r="H20" s="20">
        <v>7.01</v>
      </c>
      <c r="I20" s="17">
        <v>4.3</v>
      </c>
      <c r="J20" s="17"/>
      <c r="K20" s="17"/>
      <c r="L20" s="17">
        <v>3</v>
      </c>
      <c r="M20" s="17">
        <v>2.5</v>
      </c>
      <c r="N20" s="17"/>
      <c r="O20" s="65"/>
      <c r="Q20" s="33">
        <v>69000</v>
      </c>
      <c r="R20" s="34"/>
      <c r="S20" s="34"/>
      <c r="T20" s="62"/>
      <c r="U20" s="68"/>
      <c r="W20" s="80"/>
      <c r="X20" s="80"/>
      <c r="Y20" s="80"/>
      <c r="Z20" s="80"/>
      <c r="AA20" s="80"/>
      <c r="AB20" s="72">
        <v>15500</v>
      </c>
      <c r="AC20" s="30"/>
      <c r="AD20" s="31">
        <v>5.5</v>
      </c>
      <c r="AE20" s="31">
        <v>5.5</v>
      </c>
      <c r="AF20" s="31"/>
    </row>
    <row r="21" spans="1:32">
      <c r="A21" s="1">
        <v>14</v>
      </c>
      <c r="B21" s="7" t="s">
        <v>503</v>
      </c>
      <c r="C21" s="10">
        <v>1965</v>
      </c>
      <c r="D21" s="1">
        <v>1994</v>
      </c>
      <c r="E21" s="7" t="s">
        <v>9</v>
      </c>
      <c r="F21" s="3" t="s">
        <v>241</v>
      </c>
      <c r="G21" s="7" t="s">
        <v>23</v>
      </c>
      <c r="H21" s="20"/>
      <c r="I21" s="17"/>
      <c r="J21" s="17"/>
      <c r="K21" s="17">
        <v>15</v>
      </c>
      <c r="L21" s="17"/>
      <c r="M21" s="17"/>
      <c r="N21" s="17"/>
      <c r="O21" s="65"/>
      <c r="Q21" s="33"/>
      <c r="R21" s="34"/>
      <c r="S21" s="34">
        <v>466000</v>
      </c>
      <c r="T21" s="62">
        <v>4.05</v>
      </c>
      <c r="U21" s="68">
        <v>1890000</v>
      </c>
      <c r="W21" s="80">
        <v>3.78</v>
      </c>
      <c r="X21" s="80"/>
      <c r="Y21" s="80"/>
      <c r="Z21" s="80">
        <v>22.8</v>
      </c>
      <c r="AA21" s="80">
        <v>1.03</v>
      </c>
      <c r="AB21" s="72">
        <v>1290</v>
      </c>
      <c r="AC21" s="30"/>
      <c r="AD21" s="31"/>
      <c r="AE21" s="31"/>
      <c r="AF21" s="31"/>
    </row>
    <row r="22" spans="1:32">
      <c r="A22" s="1">
        <v>15</v>
      </c>
      <c r="B22" s="7" t="s">
        <v>265</v>
      </c>
      <c r="C22" s="10">
        <v>1924</v>
      </c>
      <c r="D22" s="1">
        <v>1925</v>
      </c>
      <c r="E22" s="7" t="s">
        <v>9</v>
      </c>
      <c r="F22" s="7" t="s">
        <v>266</v>
      </c>
      <c r="G22" s="7" t="s">
        <v>268</v>
      </c>
      <c r="H22" s="20">
        <v>10.97</v>
      </c>
      <c r="I22" s="17">
        <v>3.1</v>
      </c>
      <c r="J22" s="17"/>
      <c r="K22" s="17"/>
      <c r="L22" s="17"/>
      <c r="M22" s="17"/>
      <c r="N22" s="17">
        <v>262</v>
      </c>
      <c r="O22" s="65"/>
      <c r="Q22" s="33">
        <v>310000</v>
      </c>
      <c r="R22" s="34"/>
      <c r="S22" s="34">
        <v>311000</v>
      </c>
      <c r="T22" s="62">
        <v>11</v>
      </c>
      <c r="U22" s="68">
        <v>3420000</v>
      </c>
      <c r="W22" s="80">
        <v>11</v>
      </c>
      <c r="X22" s="80">
        <v>67</v>
      </c>
      <c r="Y22" s="80">
        <v>18.2</v>
      </c>
      <c r="Z22" s="80">
        <v>42.7</v>
      </c>
      <c r="AA22" s="80">
        <v>2.2200000000000002</v>
      </c>
      <c r="AB22" s="72"/>
      <c r="AC22" s="30">
        <v>0.25</v>
      </c>
      <c r="AD22" s="32" t="s">
        <v>267</v>
      </c>
      <c r="AE22" s="31"/>
      <c r="AF22" s="32" t="s">
        <v>267</v>
      </c>
    </row>
    <row r="23" spans="1:32">
      <c r="A23" s="35">
        <v>16</v>
      </c>
      <c r="B23" s="57" t="s">
        <v>504</v>
      </c>
      <c r="C23" s="37"/>
      <c r="D23" s="35"/>
      <c r="E23" s="36" t="s">
        <v>9</v>
      </c>
      <c r="F23" s="38"/>
      <c r="G23" s="36" t="s">
        <v>248</v>
      </c>
      <c r="H23" s="39"/>
      <c r="I23" s="40"/>
      <c r="J23" s="40"/>
      <c r="K23" s="40">
        <v>21.7</v>
      </c>
      <c r="L23" s="40"/>
      <c r="M23" s="40"/>
      <c r="N23" s="40"/>
      <c r="O23" s="66"/>
      <c r="P23" s="40"/>
      <c r="Q23" s="41"/>
      <c r="R23" s="42"/>
      <c r="S23" s="42">
        <v>29800</v>
      </c>
      <c r="T23" s="63">
        <v>11.1</v>
      </c>
      <c r="U23" s="69">
        <v>331000</v>
      </c>
      <c r="V23" s="35"/>
      <c r="W23" s="63">
        <v>10.4</v>
      </c>
      <c r="X23" s="63"/>
      <c r="Y23" s="63"/>
      <c r="Z23" s="63"/>
      <c r="AA23" s="63"/>
      <c r="AB23" s="42"/>
      <c r="AC23" s="43"/>
      <c r="AD23" s="44"/>
      <c r="AE23" s="44"/>
      <c r="AF23" s="44"/>
    </row>
    <row r="24" spans="1:32">
      <c r="A24" s="11">
        <v>17</v>
      </c>
      <c r="B24" s="58" t="s">
        <v>505</v>
      </c>
      <c r="C24" s="10">
        <v>1914</v>
      </c>
      <c r="D24" s="11">
        <v>1914</v>
      </c>
      <c r="E24" s="46" t="s">
        <v>15</v>
      </c>
      <c r="F24" s="46" t="s">
        <v>506</v>
      </c>
      <c r="G24" s="46" t="s">
        <v>507</v>
      </c>
      <c r="H24" s="20">
        <v>11.89</v>
      </c>
      <c r="I24" s="17">
        <v>6.1</v>
      </c>
      <c r="J24" s="17"/>
      <c r="K24" s="17"/>
      <c r="L24" s="17">
        <v>2</v>
      </c>
      <c r="M24" s="17">
        <v>2</v>
      </c>
      <c r="N24" s="17"/>
      <c r="O24" s="65">
        <v>510</v>
      </c>
      <c r="P24" s="6" t="s">
        <v>275</v>
      </c>
      <c r="Q24" s="33">
        <v>58000000</v>
      </c>
      <c r="R24" s="34">
        <v>12900000</v>
      </c>
      <c r="S24" s="34">
        <v>58000000</v>
      </c>
      <c r="T24" s="62">
        <v>11.58</v>
      </c>
      <c r="U24" s="68">
        <v>671000000</v>
      </c>
      <c r="V24" s="2" t="s">
        <v>238</v>
      </c>
      <c r="W24" s="62">
        <v>11.9</v>
      </c>
      <c r="X24" s="62">
        <v>21.3</v>
      </c>
      <c r="Y24" s="62"/>
      <c r="Z24" s="62"/>
      <c r="AA24" s="62">
        <v>0.25</v>
      </c>
      <c r="AB24" s="34">
        <v>6470</v>
      </c>
      <c r="AC24" s="30"/>
      <c r="AD24" s="47"/>
      <c r="AE24" s="47">
        <v>7</v>
      </c>
      <c r="AF24" s="47"/>
    </row>
    <row r="25" spans="1:32">
      <c r="A25" s="11">
        <v>18</v>
      </c>
      <c r="B25" s="59" t="s">
        <v>508</v>
      </c>
      <c r="C25" s="10"/>
      <c r="D25" s="11">
        <v>1983</v>
      </c>
      <c r="E25" s="46"/>
      <c r="F25" s="46" t="s">
        <v>8</v>
      </c>
      <c r="G25" s="46" t="s">
        <v>401</v>
      </c>
      <c r="H25" s="20">
        <v>8.8000000000000007</v>
      </c>
      <c r="I25" s="17"/>
      <c r="J25" s="17"/>
      <c r="K25" s="17"/>
      <c r="L25" s="17"/>
      <c r="M25" s="17"/>
      <c r="N25" s="17"/>
      <c r="O25" s="65">
        <v>793</v>
      </c>
      <c r="P25" s="18" t="s">
        <v>509</v>
      </c>
      <c r="Q25" s="33">
        <v>19700000</v>
      </c>
      <c r="R25" s="34"/>
      <c r="S25" s="34">
        <v>19700000</v>
      </c>
      <c r="T25" s="62"/>
      <c r="U25" s="68"/>
      <c r="V25" s="11"/>
      <c r="W25" s="62"/>
      <c r="X25" s="62"/>
      <c r="Y25" s="62"/>
      <c r="Z25" s="62"/>
      <c r="AA25" s="62"/>
      <c r="AB25" s="34"/>
      <c r="AC25" s="30"/>
      <c r="AD25" s="47"/>
      <c r="AE25" s="47"/>
      <c r="AF25" s="47"/>
    </row>
    <row r="26" spans="1:32">
      <c r="A26" s="11">
        <v>19</v>
      </c>
      <c r="B26" s="59" t="s">
        <v>269</v>
      </c>
      <c r="C26" s="10"/>
      <c r="D26" s="11"/>
      <c r="E26" s="46" t="s">
        <v>15</v>
      </c>
      <c r="F26" s="45"/>
      <c r="G26" s="46" t="s">
        <v>248</v>
      </c>
      <c r="H26" s="20"/>
      <c r="I26" s="17"/>
      <c r="J26" s="17"/>
      <c r="K26" s="17">
        <v>38.9</v>
      </c>
      <c r="L26" s="17"/>
      <c r="M26" s="17"/>
      <c r="N26" s="17"/>
      <c r="O26" s="65"/>
      <c r="P26" s="17"/>
      <c r="Q26" s="33"/>
      <c r="R26" s="34"/>
      <c r="S26" s="34">
        <v>1870000</v>
      </c>
      <c r="T26" s="62">
        <v>9.8000000000000007</v>
      </c>
      <c r="U26" s="68">
        <v>18300000</v>
      </c>
      <c r="V26" s="11"/>
      <c r="W26" s="62">
        <v>11.4</v>
      </c>
      <c r="X26" s="62"/>
      <c r="Y26" s="62"/>
      <c r="Z26" s="62">
        <v>17.2</v>
      </c>
      <c r="AA26" s="62">
        <v>0.44</v>
      </c>
      <c r="AB26" s="34">
        <v>7630</v>
      </c>
      <c r="AC26" s="30"/>
      <c r="AD26" s="47"/>
      <c r="AE26" s="47"/>
      <c r="AF26" s="47"/>
    </row>
    <row r="27" spans="1:32">
      <c r="A27" s="5">
        <v>20</v>
      </c>
      <c r="B27" s="60" t="s">
        <v>510</v>
      </c>
      <c r="C27" s="49">
        <v>1925</v>
      </c>
      <c r="D27" s="5">
        <v>1936</v>
      </c>
      <c r="E27" s="48" t="s">
        <v>9</v>
      </c>
      <c r="F27" s="48" t="s">
        <v>271</v>
      </c>
      <c r="G27" s="48" t="s">
        <v>268</v>
      </c>
      <c r="H27" s="51">
        <v>9.14</v>
      </c>
      <c r="I27" s="52">
        <v>4.9000000000000004</v>
      </c>
      <c r="J27" s="52"/>
      <c r="K27" s="52">
        <v>50.4</v>
      </c>
      <c r="L27" s="52">
        <v>3</v>
      </c>
      <c r="M27" s="52">
        <v>2</v>
      </c>
      <c r="N27" s="52">
        <v>564</v>
      </c>
      <c r="O27" s="67"/>
      <c r="P27" s="52"/>
      <c r="Q27" s="53">
        <v>740000</v>
      </c>
      <c r="R27" s="54"/>
      <c r="S27" s="54">
        <v>1180000</v>
      </c>
      <c r="T27" s="64">
        <v>9.44</v>
      </c>
      <c r="U27" s="70">
        <v>11100000</v>
      </c>
      <c r="V27" s="5"/>
      <c r="W27" s="64">
        <v>9.14</v>
      </c>
      <c r="X27" s="64">
        <v>45.5</v>
      </c>
      <c r="Y27" s="64">
        <v>27.7</v>
      </c>
      <c r="Z27" s="64">
        <v>36.6</v>
      </c>
      <c r="AA27" s="64">
        <v>1</v>
      </c>
      <c r="AB27" s="54">
        <v>16900</v>
      </c>
      <c r="AC27" s="55"/>
      <c r="AD27" s="56"/>
      <c r="AE27" s="56"/>
      <c r="AF27" s="56"/>
    </row>
    <row r="28" spans="1:32">
      <c r="A28" s="1">
        <v>21</v>
      </c>
      <c r="B28" s="7" t="s">
        <v>511</v>
      </c>
      <c r="C28" s="10"/>
      <c r="E28" s="7" t="s">
        <v>15</v>
      </c>
      <c r="G28" s="7" t="s">
        <v>248</v>
      </c>
      <c r="H28" s="20"/>
      <c r="I28" s="17"/>
      <c r="J28" s="17"/>
      <c r="K28" s="17">
        <v>22.2</v>
      </c>
      <c r="L28" s="17"/>
      <c r="M28" s="17"/>
      <c r="N28" s="17"/>
      <c r="O28" s="65"/>
      <c r="Q28" s="33"/>
      <c r="R28" s="34"/>
      <c r="S28" s="34">
        <v>425000</v>
      </c>
      <c r="T28" s="62">
        <v>6.55</v>
      </c>
      <c r="U28" s="68">
        <v>2780000</v>
      </c>
      <c r="W28" s="80">
        <v>8.23</v>
      </c>
      <c r="X28" s="80"/>
      <c r="Y28" s="80"/>
      <c r="Z28" s="80">
        <v>10.8</v>
      </c>
      <c r="AA28" s="80">
        <v>0.35</v>
      </c>
      <c r="AB28" s="72">
        <v>1970</v>
      </c>
      <c r="AC28" s="30"/>
      <c r="AD28" s="31"/>
      <c r="AE28" s="31"/>
      <c r="AF28" s="31"/>
    </row>
    <row r="29" spans="1:32">
      <c r="A29" s="1">
        <v>22</v>
      </c>
      <c r="B29" s="7" t="s">
        <v>512</v>
      </c>
      <c r="C29" s="10">
        <v>1910</v>
      </c>
      <c r="D29" s="1">
        <v>1912</v>
      </c>
      <c r="E29" s="7" t="s">
        <v>9</v>
      </c>
      <c r="F29" s="7" t="s">
        <v>513</v>
      </c>
      <c r="G29" s="7" t="s">
        <v>494</v>
      </c>
      <c r="H29" s="20">
        <v>10.67</v>
      </c>
      <c r="I29" s="17"/>
      <c r="J29" s="17"/>
      <c r="K29" s="17"/>
      <c r="L29" s="17"/>
      <c r="M29" s="17"/>
      <c r="N29" s="17">
        <v>213</v>
      </c>
      <c r="O29" s="65"/>
      <c r="Q29" s="33"/>
      <c r="R29" s="34"/>
      <c r="S29" s="34"/>
      <c r="T29" s="62"/>
      <c r="U29" s="68"/>
      <c r="W29" s="80">
        <v>4.5999999999999996</v>
      </c>
      <c r="X29" s="80">
        <v>39.5</v>
      </c>
      <c r="Y29" s="80"/>
      <c r="Z29" s="80"/>
      <c r="AA29" s="80"/>
      <c r="AB29" s="72"/>
      <c r="AC29" s="30"/>
      <c r="AD29" s="32" t="s">
        <v>514</v>
      </c>
      <c r="AE29" s="31"/>
      <c r="AF29" s="31"/>
    </row>
    <row r="30" spans="1:32">
      <c r="A30" s="1">
        <v>23</v>
      </c>
      <c r="B30" s="3" t="s">
        <v>515</v>
      </c>
      <c r="C30" s="10">
        <v>1958</v>
      </c>
      <c r="D30" s="1">
        <v>1977</v>
      </c>
      <c r="E30" s="7" t="s">
        <v>9</v>
      </c>
      <c r="F30" s="7" t="s">
        <v>8</v>
      </c>
      <c r="G30" s="7" t="s">
        <v>276</v>
      </c>
      <c r="H30" s="20">
        <v>53.04</v>
      </c>
      <c r="I30" s="17"/>
      <c r="J30" s="17"/>
      <c r="K30" s="17"/>
      <c r="L30" s="17"/>
      <c r="M30" s="17"/>
      <c r="N30" s="17"/>
      <c r="O30" s="65">
        <v>1020</v>
      </c>
      <c r="P30" s="6" t="s">
        <v>275</v>
      </c>
      <c r="Q30" s="33">
        <v>13600000</v>
      </c>
      <c r="R30" s="34"/>
      <c r="S30" s="34"/>
      <c r="T30" s="62">
        <v>58.22</v>
      </c>
      <c r="U30" s="68"/>
      <c r="V30" s="2" t="s">
        <v>238</v>
      </c>
      <c r="W30" s="80">
        <v>53</v>
      </c>
      <c r="X30" s="80">
        <v>131</v>
      </c>
      <c r="Y30" s="80"/>
      <c r="Z30" s="80"/>
      <c r="AA30" s="80"/>
      <c r="AB30" s="72">
        <v>726000</v>
      </c>
      <c r="AC30" s="30"/>
      <c r="AD30" s="31">
        <v>7.3</v>
      </c>
      <c r="AE30" s="31">
        <v>7.3</v>
      </c>
      <c r="AF30" s="31"/>
    </row>
    <row r="31" spans="1:32">
      <c r="A31" s="1">
        <v>24</v>
      </c>
      <c r="B31" s="7" t="s">
        <v>273</v>
      </c>
      <c r="C31" s="10"/>
      <c r="E31" s="7" t="s">
        <v>15</v>
      </c>
      <c r="G31" s="7" t="s">
        <v>248</v>
      </c>
      <c r="H31" s="20"/>
      <c r="I31" s="17"/>
      <c r="J31" s="17"/>
      <c r="K31" s="17">
        <v>21.3</v>
      </c>
      <c r="L31" s="17"/>
      <c r="M31" s="17"/>
      <c r="N31" s="17"/>
      <c r="O31" s="65"/>
      <c r="Q31" s="33"/>
      <c r="R31" s="34"/>
      <c r="S31" s="34">
        <v>493000</v>
      </c>
      <c r="T31" s="62">
        <v>11.1</v>
      </c>
      <c r="U31" s="68">
        <v>5470000</v>
      </c>
      <c r="W31" s="80">
        <v>12.6</v>
      </c>
      <c r="X31" s="80"/>
      <c r="Y31" s="80"/>
      <c r="Z31" s="80">
        <v>7.62</v>
      </c>
      <c r="AA31" s="80">
        <v>0.36</v>
      </c>
      <c r="AB31" s="72">
        <v>2050</v>
      </c>
      <c r="AC31" s="30"/>
      <c r="AD31" s="31"/>
      <c r="AE31" s="31"/>
      <c r="AF31" s="31"/>
    </row>
    <row r="32" spans="1:32">
      <c r="A32" s="1">
        <v>25</v>
      </c>
      <c r="B32" s="3" t="s">
        <v>274</v>
      </c>
      <c r="C32" s="10">
        <v>1975</v>
      </c>
      <c r="D32" s="1">
        <v>1977</v>
      </c>
      <c r="E32" s="7" t="s">
        <v>15</v>
      </c>
      <c r="F32" s="7" t="s">
        <v>8</v>
      </c>
      <c r="G32" s="7" t="s">
        <v>276</v>
      </c>
      <c r="H32" s="20">
        <v>9.75</v>
      </c>
      <c r="I32" s="17"/>
      <c r="J32" s="17"/>
      <c r="K32" s="17"/>
      <c r="L32" s="17"/>
      <c r="M32" s="17"/>
      <c r="N32" s="17"/>
      <c r="O32" s="65">
        <v>79</v>
      </c>
      <c r="P32" s="6" t="s">
        <v>275</v>
      </c>
      <c r="Q32" s="33">
        <v>350000</v>
      </c>
      <c r="R32" s="34"/>
      <c r="S32" s="34">
        <v>352000</v>
      </c>
      <c r="T32" s="62">
        <v>8.23</v>
      </c>
      <c r="U32" s="68">
        <v>2890000</v>
      </c>
      <c r="V32" s="2" t="s">
        <v>238</v>
      </c>
      <c r="W32" s="80">
        <v>9.75</v>
      </c>
      <c r="X32" s="80">
        <v>9.1999999999999993</v>
      </c>
      <c r="Y32" s="80">
        <v>4.5999999999999996</v>
      </c>
      <c r="Z32" s="80">
        <v>6.9</v>
      </c>
      <c r="AA32" s="80">
        <v>0.4</v>
      </c>
      <c r="AB32" s="72">
        <v>1290</v>
      </c>
      <c r="AC32" s="30"/>
      <c r="AD32" s="31">
        <v>2.5</v>
      </c>
      <c r="AE32" s="31">
        <v>0.25</v>
      </c>
      <c r="AF32" s="31"/>
    </row>
    <row r="33" spans="1:32">
      <c r="A33" s="35">
        <v>26</v>
      </c>
      <c r="B33" s="36" t="s">
        <v>516</v>
      </c>
      <c r="C33" s="37"/>
      <c r="D33" s="35">
        <v>1948</v>
      </c>
      <c r="E33" s="36" t="s">
        <v>15</v>
      </c>
      <c r="F33" s="38" t="s">
        <v>241</v>
      </c>
      <c r="G33" s="36" t="s">
        <v>517</v>
      </c>
      <c r="H33" s="39">
        <v>10.4</v>
      </c>
      <c r="I33" s="40"/>
      <c r="J33" s="40"/>
      <c r="K33" s="40">
        <v>30.8</v>
      </c>
      <c r="L33" s="40"/>
      <c r="M33" s="40"/>
      <c r="N33" s="40"/>
      <c r="O33" s="66">
        <v>654</v>
      </c>
      <c r="P33" s="76" t="s">
        <v>518</v>
      </c>
      <c r="Q33" s="41">
        <v>752000</v>
      </c>
      <c r="R33" s="42"/>
      <c r="S33" s="42">
        <v>750000</v>
      </c>
      <c r="T33" s="63">
        <v>10.199999999999999</v>
      </c>
      <c r="U33" s="69">
        <v>7650000</v>
      </c>
      <c r="V33" s="35"/>
      <c r="W33" s="63">
        <v>10.4</v>
      </c>
      <c r="X33" s="63"/>
      <c r="Y33" s="63"/>
      <c r="Z33" s="63"/>
      <c r="AA33" s="63"/>
      <c r="AB33" s="42"/>
      <c r="AC33" s="43"/>
      <c r="AD33" s="44"/>
      <c r="AE33" s="44"/>
      <c r="AF33" s="44"/>
    </row>
    <row r="34" spans="1:32">
      <c r="A34" s="11">
        <v>27</v>
      </c>
      <c r="B34" s="45" t="s">
        <v>519</v>
      </c>
      <c r="C34" s="10">
        <v>1925</v>
      </c>
      <c r="D34" s="11">
        <v>1925</v>
      </c>
      <c r="E34" s="46" t="s">
        <v>15</v>
      </c>
      <c r="F34" s="45" t="s">
        <v>241</v>
      </c>
      <c r="G34" s="46" t="s">
        <v>279</v>
      </c>
      <c r="H34" s="20">
        <v>12.19</v>
      </c>
      <c r="I34" s="17">
        <v>2.4</v>
      </c>
      <c r="J34" s="17"/>
      <c r="K34" s="17">
        <v>34.299999999999997</v>
      </c>
      <c r="L34" s="17">
        <v>2</v>
      </c>
      <c r="M34" s="17">
        <v>2.5</v>
      </c>
      <c r="N34" s="17"/>
      <c r="O34" s="65">
        <v>929</v>
      </c>
      <c r="P34" s="18" t="s">
        <v>278</v>
      </c>
      <c r="Q34" s="33"/>
      <c r="R34" s="34"/>
      <c r="S34" s="34">
        <v>3870000</v>
      </c>
      <c r="T34" s="62">
        <v>8.5299999999999994</v>
      </c>
      <c r="U34" s="68">
        <v>33000000</v>
      </c>
      <c r="V34" s="2" t="s">
        <v>238</v>
      </c>
      <c r="W34" s="62">
        <v>14.2</v>
      </c>
      <c r="X34" s="62">
        <v>41</v>
      </c>
      <c r="Y34" s="62">
        <v>13.8</v>
      </c>
      <c r="Z34" s="62">
        <v>27.4</v>
      </c>
      <c r="AA34" s="62">
        <v>0.97</v>
      </c>
      <c r="AB34" s="34">
        <v>13800</v>
      </c>
      <c r="AC34" s="30">
        <v>0.57999999999999996</v>
      </c>
      <c r="AD34" s="47">
        <v>0.57999999999999996</v>
      </c>
      <c r="AE34" s="47">
        <v>0.57999999999999996</v>
      </c>
      <c r="AF34" s="47"/>
    </row>
    <row r="35" spans="1:32">
      <c r="A35" s="11">
        <v>28</v>
      </c>
      <c r="B35" s="45" t="s">
        <v>520</v>
      </c>
      <c r="C35" s="10">
        <v>1952</v>
      </c>
      <c r="D35" s="11">
        <v>1952</v>
      </c>
      <c r="E35" s="46" t="s">
        <v>15</v>
      </c>
      <c r="F35" s="45" t="s">
        <v>241</v>
      </c>
      <c r="G35" s="46" t="s">
        <v>279</v>
      </c>
      <c r="H35" s="20">
        <v>12.5</v>
      </c>
      <c r="I35" s="17">
        <v>6.1</v>
      </c>
      <c r="J35" s="17"/>
      <c r="K35" s="17">
        <v>37.299999999999997</v>
      </c>
      <c r="L35" s="17">
        <v>3</v>
      </c>
      <c r="M35" s="17">
        <v>2</v>
      </c>
      <c r="N35" s="17"/>
      <c r="O35" s="65">
        <v>1420</v>
      </c>
      <c r="P35" s="6" t="s">
        <v>275</v>
      </c>
      <c r="Q35" s="33">
        <v>21000000</v>
      </c>
      <c r="R35" s="34"/>
      <c r="S35" s="34">
        <v>16000000</v>
      </c>
      <c r="T35" s="62">
        <v>10.8</v>
      </c>
      <c r="U35" s="68">
        <v>173000000</v>
      </c>
      <c r="V35" s="2" t="s">
        <v>238</v>
      </c>
      <c r="W35" s="62">
        <v>12.5</v>
      </c>
      <c r="X35" s="62">
        <v>67</v>
      </c>
      <c r="Y35" s="62">
        <v>54.4</v>
      </c>
      <c r="Z35" s="62">
        <v>54.6</v>
      </c>
      <c r="AA35" s="62">
        <v>0.5</v>
      </c>
      <c r="AB35" s="34">
        <v>28400</v>
      </c>
      <c r="AC35" s="30"/>
      <c r="AD35" s="47"/>
      <c r="AE35" s="47"/>
      <c r="AF35" s="47"/>
    </row>
    <row r="36" spans="1:32">
      <c r="A36" s="11">
        <v>29</v>
      </c>
      <c r="B36" s="46" t="s">
        <v>521</v>
      </c>
      <c r="C36" s="10">
        <v>1940</v>
      </c>
      <c r="D36" s="11">
        <v>1970</v>
      </c>
      <c r="E36" s="46" t="s">
        <v>9</v>
      </c>
      <c r="F36" s="46" t="s">
        <v>8</v>
      </c>
      <c r="G36" s="46" t="s">
        <v>494</v>
      </c>
      <c r="H36" s="20"/>
      <c r="I36" s="17"/>
      <c r="J36" s="17"/>
      <c r="K36" s="17"/>
      <c r="L36" s="17">
        <v>1</v>
      </c>
      <c r="M36" s="17">
        <v>1</v>
      </c>
      <c r="N36" s="17">
        <v>62.2</v>
      </c>
      <c r="O36" s="65"/>
      <c r="P36" s="17"/>
      <c r="Q36" s="33"/>
      <c r="R36" s="34"/>
      <c r="S36" s="34"/>
      <c r="T36" s="62"/>
      <c r="U36" s="68"/>
      <c r="V36" s="11"/>
      <c r="W36" s="62">
        <v>15</v>
      </c>
      <c r="X36" s="62">
        <v>62</v>
      </c>
      <c r="Y36" s="62"/>
      <c r="Z36" s="62"/>
      <c r="AA36" s="62"/>
      <c r="AB36" s="34"/>
      <c r="AC36" s="30"/>
      <c r="AD36" s="47">
        <v>0.25</v>
      </c>
      <c r="AE36" s="47"/>
      <c r="AF36" s="47"/>
    </row>
    <row r="37" spans="1:32">
      <c r="A37" s="5">
        <v>30</v>
      </c>
      <c r="B37" s="50" t="s">
        <v>522</v>
      </c>
      <c r="C37" s="49">
        <v>1903</v>
      </c>
      <c r="D37" s="5">
        <v>1916</v>
      </c>
      <c r="E37" s="48" t="s">
        <v>9</v>
      </c>
      <c r="F37" s="48" t="s">
        <v>284</v>
      </c>
      <c r="G37" s="48" t="s">
        <v>282</v>
      </c>
      <c r="H37" s="51">
        <v>6.1</v>
      </c>
      <c r="I37" s="52">
        <v>3</v>
      </c>
      <c r="J37" s="52"/>
      <c r="K37" s="52"/>
      <c r="L37" s="52">
        <v>1.5</v>
      </c>
      <c r="M37" s="52">
        <v>1.5</v>
      </c>
      <c r="N37" s="52"/>
      <c r="O37" s="67">
        <v>565</v>
      </c>
      <c r="P37" s="6" t="s">
        <v>275</v>
      </c>
      <c r="Q37" s="53">
        <v>10600000</v>
      </c>
      <c r="R37" s="54"/>
      <c r="S37" s="54">
        <v>10600000</v>
      </c>
      <c r="T37" s="64">
        <v>1.37</v>
      </c>
      <c r="U37" s="70">
        <v>14500000</v>
      </c>
      <c r="V37" s="9" t="s">
        <v>238</v>
      </c>
      <c r="W37" s="64">
        <v>4.0999999999999996</v>
      </c>
      <c r="X37" s="64">
        <v>30.5</v>
      </c>
      <c r="Y37" s="64">
        <v>22.3</v>
      </c>
      <c r="Z37" s="64">
        <v>26.4</v>
      </c>
      <c r="AA37" s="64">
        <v>0.5</v>
      </c>
      <c r="AB37" s="54">
        <v>1070</v>
      </c>
      <c r="AC37" s="55"/>
      <c r="AD37" s="61" t="s">
        <v>514</v>
      </c>
      <c r="AE37" s="56">
        <v>0.5</v>
      </c>
      <c r="AF37" s="56"/>
    </row>
    <row r="38" spans="1:32">
      <c r="A38" s="1">
        <v>31</v>
      </c>
      <c r="B38" s="7" t="s">
        <v>283</v>
      </c>
      <c r="C38" s="10">
        <v>1874</v>
      </c>
      <c r="D38" s="1">
        <v>1900</v>
      </c>
      <c r="E38" s="7" t="s">
        <v>9</v>
      </c>
      <c r="G38" s="7" t="s">
        <v>285</v>
      </c>
      <c r="H38" s="20">
        <v>7.62</v>
      </c>
      <c r="I38" s="17">
        <v>3.7</v>
      </c>
      <c r="J38" s="17"/>
      <c r="K38" s="17">
        <v>14.8</v>
      </c>
      <c r="L38" s="17">
        <v>1.5</v>
      </c>
      <c r="M38" s="17">
        <v>1.5</v>
      </c>
      <c r="N38" s="17">
        <v>441</v>
      </c>
      <c r="O38" s="65"/>
      <c r="P38" s="73"/>
      <c r="Q38" s="33">
        <v>220000</v>
      </c>
      <c r="R38" s="34"/>
      <c r="S38" s="34">
        <v>25500</v>
      </c>
      <c r="T38" s="62">
        <v>6.4</v>
      </c>
      <c r="U38" s="68">
        <v>163000</v>
      </c>
      <c r="W38" s="80">
        <v>6.4</v>
      </c>
      <c r="X38" s="80">
        <v>12.2</v>
      </c>
      <c r="Y38" s="80">
        <v>6</v>
      </c>
      <c r="Z38" s="80">
        <v>19</v>
      </c>
      <c r="AA38" s="80">
        <v>2.2599999999999998</v>
      </c>
      <c r="AB38" s="72">
        <v>1800</v>
      </c>
      <c r="AC38" s="30"/>
      <c r="AD38" s="31">
        <v>0.5</v>
      </c>
      <c r="AE38" s="31"/>
      <c r="AF38" s="32" t="s">
        <v>267</v>
      </c>
    </row>
    <row r="39" spans="1:32">
      <c r="A39" s="1">
        <v>32</v>
      </c>
      <c r="B39" s="7" t="s">
        <v>523</v>
      </c>
      <c r="C39" s="10"/>
      <c r="D39" s="1">
        <v>1971</v>
      </c>
      <c r="G39" s="7" t="s">
        <v>122</v>
      </c>
      <c r="H39" s="20"/>
      <c r="I39" s="17"/>
      <c r="J39" s="17"/>
      <c r="K39" s="17"/>
      <c r="L39" s="17"/>
      <c r="M39" s="17"/>
      <c r="N39" s="17"/>
      <c r="O39" s="65">
        <v>1840</v>
      </c>
      <c r="P39" s="77" t="s">
        <v>524</v>
      </c>
      <c r="Q39" s="33"/>
      <c r="R39" s="34"/>
      <c r="S39" s="34"/>
      <c r="T39" s="62"/>
      <c r="U39" s="68"/>
      <c r="W39" s="80"/>
      <c r="X39" s="80"/>
      <c r="Y39" s="80"/>
      <c r="Z39" s="80"/>
      <c r="AA39" s="80"/>
      <c r="AB39" s="72"/>
      <c r="AC39" s="30"/>
      <c r="AD39" s="31"/>
      <c r="AE39" s="31"/>
      <c r="AF39" s="31"/>
    </row>
    <row r="40" spans="1:32">
      <c r="A40" s="1">
        <v>33</v>
      </c>
      <c r="B40" s="7" t="s">
        <v>286</v>
      </c>
      <c r="C40" s="10"/>
      <c r="E40" s="7" t="s">
        <v>15</v>
      </c>
      <c r="G40" s="7" t="s">
        <v>248</v>
      </c>
      <c r="H40" s="20"/>
      <c r="I40" s="17"/>
      <c r="J40" s="17"/>
      <c r="K40" s="17">
        <v>16.7</v>
      </c>
      <c r="L40" s="17"/>
      <c r="M40" s="17"/>
      <c r="N40" s="17"/>
      <c r="O40" s="65"/>
      <c r="P40" s="74"/>
      <c r="Q40" s="33"/>
      <c r="R40" s="34"/>
      <c r="S40" s="34">
        <v>23400</v>
      </c>
      <c r="T40" s="62">
        <v>2.99</v>
      </c>
      <c r="U40" s="68">
        <v>73000</v>
      </c>
      <c r="W40" s="80">
        <v>3.96</v>
      </c>
      <c r="X40" s="80"/>
      <c r="Y40" s="80"/>
      <c r="Z40" s="80">
        <v>10.7</v>
      </c>
      <c r="AA40" s="80">
        <v>0.38</v>
      </c>
      <c r="AB40" s="72">
        <v>708</v>
      </c>
      <c r="AC40" s="30"/>
      <c r="AD40" s="31"/>
      <c r="AE40" s="31"/>
      <c r="AF40" s="31"/>
    </row>
    <row r="41" spans="1:32">
      <c r="A41" s="1">
        <v>34</v>
      </c>
      <c r="B41" s="7" t="s">
        <v>525</v>
      </c>
      <c r="C41" s="10">
        <v>1920</v>
      </c>
      <c r="D41" s="1">
        <v>1986</v>
      </c>
      <c r="E41" s="7" t="s">
        <v>15</v>
      </c>
      <c r="F41" s="3" t="s">
        <v>241</v>
      </c>
      <c r="G41" s="7" t="s">
        <v>246</v>
      </c>
      <c r="H41" s="20"/>
      <c r="I41" s="17">
        <v>4.3</v>
      </c>
      <c r="J41" s="17"/>
      <c r="K41" s="17">
        <v>31.1</v>
      </c>
      <c r="L41" s="17"/>
      <c r="M41" s="17"/>
      <c r="N41" s="17"/>
      <c r="O41" s="65"/>
      <c r="P41" s="74"/>
      <c r="Q41" s="33"/>
      <c r="R41" s="34"/>
      <c r="S41" s="34">
        <v>6350000</v>
      </c>
      <c r="T41" s="62">
        <v>10.7</v>
      </c>
      <c r="U41" s="68">
        <v>67900000</v>
      </c>
      <c r="W41" s="80">
        <v>10.8</v>
      </c>
      <c r="X41" s="80"/>
      <c r="Y41" s="80"/>
      <c r="Z41" s="80">
        <v>73</v>
      </c>
      <c r="AA41" s="80">
        <v>3.03</v>
      </c>
      <c r="AB41" s="72">
        <v>24800</v>
      </c>
      <c r="AC41" s="30"/>
      <c r="AD41" s="31"/>
      <c r="AE41" s="31"/>
      <c r="AF41" s="31"/>
    </row>
    <row r="42" spans="1:32">
      <c r="A42" s="1">
        <v>35</v>
      </c>
      <c r="B42" s="3" t="s">
        <v>288</v>
      </c>
      <c r="C42" s="10">
        <v>1908</v>
      </c>
      <c r="D42" s="1">
        <v>1914</v>
      </c>
      <c r="E42" s="7" t="s">
        <v>289</v>
      </c>
      <c r="F42" s="7" t="s">
        <v>290</v>
      </c>
      <c r="G42" s="7" t="s">
        <v>291</v>
      </c>
      <c r="H42" s="20">
        <v>19.2</v>
      </c>
      <c r="I42" s="17">
        <v>6.1</v>
      </c>
      <c r="J42" s="17"/>
      <c r="K42" s="17">
        <v>44.8</v>
      </c>
      <c r="L42" s="17">
        <v>2</v>
      </c>
      <c r="M42" s="17">
        <v>2.5</v>
      </c>
      <c r="N42" s="17">
        <v>238</v>
      </c>
      <c r="O42" s="65">
        <v>3080</v>
      </c>
      <c r="P42" s="78" t="s">
        <v>278</v>
      </c>
      <c r="Q42" s="33">
        <v>14800000</v>
      </c>
      <c r="R42" s="34"/>
      <c r="S42" s="34">
        <v>14800000</v>
      </c>
      <c r="T42" s="62">
        <v>16.8</v>
      </c>
      <c r="U42" s="68">
        <v>249000000</v>
      </c>
      <c r="V42" s="2" t="s">
        <v>238</v>
      </c>
      <c r="W42" s="80">
        <v>18.3</v>
      </c>
      <c r="X42" s="80">
        <v>180</v>
      </c>
      <c r="Y42" s="80">
        <v>140</v>
      </c>
      <c r="Z42" s="80">
        <v>151</v>
      </c>
      <c r="AA42" s="80">
        <v>2.42</v>
      </c>
      <c r="AB42" s="72">
        <v>161000</v>
      </c>
      <c r="AC42" s="30">
        <v>1</v>
      </c>
      <c r="AD42" s="31">
        <v>3</v>
      </c>
      <c r="AE42" s="31">
        <v>3</v>
      </c>
      <c r="AF42" s="31">
        <v>1</v>
      </c>
    </row>
    <row r="43" spans="1:32">
      <c r="A43" s="35">
        <v>36</v>
      </c>
      <c r="B43" s="36" t="s">
        <v>526</v>
      </c>
      <c r="C43" s="37">
        <v>1908</v>
      </c>
      <c r="D43" s="35">
        <v>1911</v>
      </c>
      <c r="E43" s="38"/>
      <c r="F43" s="38"/>
      <c r="G43" s="36" t="s">
        <v>403</v>
      </c>
      <c r="H43" s="39">
        <v>6.8</v>
      </c>
      <c r="I43" s="40"/>
      <c r="J43" s="40"/>
      <c r="K43" s="40"/>
      <c r="L43" s="40"/>
      <c r="M43" s="40"/>
      <c r="N43" s="40"/>
      <c r="O43" s="66">
        <v>3400</v>
      </c>
      <c r="P43" s="6" t="s">
        <v>275</v>
      </c>
      <c r="Q43" s="41">
        <v>12300000</v>
      </c>
      <c r="R43" s="42"/>
      <c r="S43" s="42"/>
      <c r="T43" s="63"/>
      <c r="U43" s="69"/>
      <c r="V43" s="35"/>
      <c r="W43" s="63">
        <v>6.8</v>
      </c>
      <c r="X43" s="63"/>
      <c r="Y43" s="63">
        <v>6.1</v>
      </c>
      <c r="Z43" s="63">
        <v>91.5</v>
      </c>
      <c r="AA43" s="63"/>
      <c r="AB43" s="42"/>
      <c r="AC43" s="43"/>
      <c r="AD43" s="44"/>
      <c r="AE43" s="44"/>
      <c r="AF43" s="44"/>
    </row>
    <row r="44" spans="1:32">
      <c r="A44" s="11">
        <v>37</v>
      </c>
      <c r="B44" s="45" t="s">
        <v>527</v>
      </c>
      <c r="C44" s="10">
        <v>1913</v>
      </c>
      <c r="D44" s="11">
        <v>1914</v>
      </c>
      <c r="E44" s="46" t="s">
        <v>15</v>
      </c>
      <c r="F44" s="46" t="s">
        <v>8</v>
      </c>
      <c r="G44" s="46" t="s">
        <v>276</v>
      </c>
      <c r="H44" s="20">
        <v>11.58</v>
      </c>
      <c r="I44" s="17">
        <v>3.7</v>
      </c>
      <c r="J44" s="17"/>
      <c r="K44" s="17"/>
      <c r="L44" s="17">
        <v>3</v>
      </c>
      <c r="M44" s="17">
        <v>1.5</v>
      </c>
      <c r="N44" s="17"/>
      <c r="O44" s="65"/>
      <c r="P44" s="17"/>
      <c r="Q44" s="33"/>
      <c r="R44" s="34"/>
      <c r="S44" s="34"/>
      <c r="T44" s="62">
        <v>12.19</v>
      </c>
      <c r="U44" s="68"/>
      <c r="V44" s="2" t="s">
        <v>238</v>
      </c>
      <c r="W44" s="62">
        <v>15.3</v>
      </c>
      <c r="X44" s="62">
        <v>61</v>
      </c>
      <c r="Y44" s="62">
        <v>30.4</v>
      </c>
      <c r="Z44" s="62">
        <v>45.7</v>
      </c>
      <c r="AA44" s="62">
        <v>0.5</v>
      </c>
      <c r="AB44" s="34">
        <v>30800</v>
      </c>
      <c r="AC44" s="30"/>
      <c r="AD44" s="47">
        <v>2.25</v>
      </c>
      <c r="AE44" s="47">
        <v>2.25</v>
      </c>
      <c r="AF44" s="47"/>
    </row>
    <row r="45" spans="1:32">
      <c r="A45" s="11">
        <v>38</v>
      </c>
      <c r="B45" s="45" t="s">
        <v>528</v>
      </c>
      <c r="C45" s="10">
        <v>1964</v>
      </c>
      <c r="D45" s="11">
        <v>1964</v>
      </c>
      <c r="E45" s="46" t="s">
        <v>15</v>
      </c>
      <c r="F45" s="46" t="s">
        <v>293</v>
      </c>
      <c r="G45" s="46" t="s">
        <v>261</v>
      </c>
      <c r="H45" s="20">
        <v>67.06</v>
      </c>
      <c r="I45" s="17">
        <v>21.3</v>
      </c>
      <c r="J45" s="17"/>
      <c r="K45" s="17">
        <v>103.2</v>
      </c>
      <c r="L45" s="17">
        <v>1.5</v>
      </c>
      <c r="M45" s="17">
        <v>1.5</v>
      </c>
      <c r="N45" s="17"/>
      <c r="O45" s="65">
        <v>7360</v>
      </c>
      <c r="P45" s="18" t="s">
        <v>278</v>
      </c>
      <c r="Q45" s="33">
        <v>30600000</v>
      </c>
      <c r="R45" s="34"/>
      <c r="S45" s="34">
        <v>30600000</v>
      </c>
      <c r="T45" s="62">
        <v>35.1</v>
      </c>
      <c r="U45" s="68">
        <v>1070000000</v>
      </c>
      <c r="V45" s="2" t="s">
        <v>238</v>
      </c>
      <c r="W45" s="62">
        <v>56.4</v>
      </c>
      <c r="X45" s="62"/>
      <c r="Y45" s="62"/>
      <c r="Z45" s="62">
        <v>121</v>
      </c>
      <c r="AA45" s="62">
        <v>0.96</v>
      </c>
      <c r="AB45" s="34">
        <v>555000</v>
      </c>
      <c r="AC45" s="30">
        <v>0.75</v>
      </c>
      <c r="AD45" s="47"/>
      <c r="AE45" s="47">
        <v>5</v>
      </c>
      <c r="AF45" s="47"/>
    </row>
    <row r="46" spans="1:32">
      <c r="A46" s="11">
        <v>39</v>
      </c>
      <c r="B46" s="46" t="s">
        <v>529</v>
      </c>
      <c r="C46" s="10"/>
      <c r="D46" s="11">
        <v>1935</v>
      </c>
      <c r="E46" s="46" t="s">
        <v>9</v>
      </c>
      <c r="F46" s="46" t="s">
        <v>290</v>
      </c>
      <c r="G46" s="46" t="s">
        <v>246</v>
      </c>
      <c r="H46" s="20"/>
      <c r="I46" s="17">
        <v>4.5999999999999996</v>
      </c>
      <c r="J46" s="17"/>
      <c r="K46" s="17">
        <v>28.8</v>
      </c>
      <c r="L46" s="17"/>
      <c r="M46" s="17"/>
      <c r="N46" s="17"/>
      <c r="O46" s="65"/>
      <c r="P46" s="17"/>
      <c r="Q46" s="33"/>
      <c r="R46" s="34"/>
      <c r="S46" s="34"/>
      <c r="T46" s="62">
        <v>10.7</v>
      </c>
      <c r="U46" s="68"/>
      <c r="V46" s="2" t="s">
        <v>238</v>
      </c>
      <c r="W46" s="62">
        <v>10.7</v>
      </c>
      <c r="X46" s="62"/>
      <c r="Y46" s="62"/>
      <c r="Z46" s="62">
        <v>47.2</v>
      </c>
      <c r="AA46" s="62">
        <v>1.1399999999999999</v>
      </c>
      <c r="AB46" s="34">
        <v>14500</v>
      </c>
      <c r="AC46" s="30"/>
      <c r="AD46" s="47"/>
      <c r="AE46" s="47"/>
      <c r="AF46" s="47"/>
    </row>
    <row r="47" spans="1:32">
      <c r="A47" s="5">
        <v>40</v>
      </c>
      <c r="B47" s="50" t="s">
        <v>530</v>
      </c>
      <c r="C47" s="49">
        <v>1911</v>
      </c>
      <c r="D47" s="5">
        <v>1914</v>
      </c>
      <c r="E47" s="48" t="s">
        <v>15</v>
      </c>
      <c r="F47" s="48" t="s">
        <v>295</v>
      </c>
      <c r="G47" s="48" t="s">
        <v>296</v>
      </c>
      <c r="H47" s="51">
        <v>12.19</v>
      </c>
      <c r="I47" s="52">
        <v>4.9000000000000004</v>
      </c>
      <c r="J47" s="52"/>
      <c r="K47" s="52">
        <v>26.8</v>
      </c>
      <c r="L47" s="52">
        <v>1.5</v>
      </c>
      <c r="M47" s="52">
        <v>2</v>
      </c>
      <c r="N47" s="52">
        <v>701</v>
      </c>
      <c r="O47" s="67"/>
      <c r="P47" s="52"/>
      <c r="Q47" s="53">
        <v>21000000</v>
      </c>
      <c r="R47" s="54">
        <v>4860000</v>
      </c>
      <c r="S47" s="54">
        <v>12800000</v>
      </c>
      <c r="T47" s="64">
        <v>7.01</v>
      </c>
      <c r="U47" s="70">
        <v>89700000</v>
      </c>
      <c r="V47" s="5"/>
      <c r="W47" s="64">
        <v>12.8</v>
      </c>
      <c r="X47" s="64">
        <v>76.2</v>
      </c>
      <c r="Y47" s="64">
        <v>70</v>
      </c>
      <c r="Z47" s="64">
        <v>73.099999999999994</v>
      </c>
      <c r="AA47" s="64">
        <v>0.83</v>
      </c>
      <c r="AB47" s="54">
        <v>20500</v>
      </c>
      <c r="AC47" s="55"/>
      <c r="AD47" s="56"/>
      <c r="AE47" s="56"/>
      <c r="AF47" s="56"/>
    </row>
    <row r="48" spans="1:32">
      <c r="A48" s="1">
        <v>41</v>
      </c>
      <c r="B48" s="7" t="s">
        <v>297</v>
      </c>
      <c r="C48" s="10">
        <v>1960</v>
      </c>
      <c r="D48" s="1">
        <v>1994</v>
      </c>
      <c r="E48" s="7" t="s">
        <v>9</v>
      </c>
      <c r="F48" s="3" t="s">
        <v>241</v>
      </c>
      <c r="G48" s="7" t="s">
        <v>23</v>
      </c>
      <c r="H48" s="20"/>
      <c r="I48" s="17"/>
      <c r="J48" s="17"/>
      <c r="K48" s="17">
        <v>14</v>
      </c>
      <c r="L48" s="17"/>
      <c r="M48" s="17"/>
      <c r="N48" s="17"/>
      <c r="O48" s="65"/>
      <c r="Q48" s="33"/>
      <c r="R48" s="34"/>
      <c r="S48" s="34">
        <v>1170000</v>
      </c>
      <c r="T48" s="62">
        <v>4.42</v>
      </c>
      <c r="U48" s="68">
        <v>5170000</v>
      </c>
      <c r="W48" s="80">
        <v>3.75</v>
      </c>
      <c r="X48" s="80"/>
      <c r="Y48" s="80"/>
      <c r="Z48" s="80">
        <v>33.4</v>
      </c>
      <c r="AA48" s="80">
        <v>1.1399999999999999</v>
      </c>
      <c r="AB48" s="72">
        <v>1750</v>
      </c>
      <c r="AC48" s="30"/>
      <c r="AD48" s="31"/>
      <c r="AE48" s="31"/>
      <c r="AF48" s="31"/>
    </row>
    <row r="49" spans="1:32">
      <c r="A49" s="1">
        <v>42</v>
      </c>
      <c r="B49" s="7" t="s">
        <v>298</v>
      </c>
      <c r="C49" s="10">
        <v>1971</v>
      </c>
      <c r="D49" s="1">
        <v>1993</v>
      </c>
      <c r="E49" s="7" t="s">
        <v>15</v>
      </c>
      <c r="F49" s="7" t="s">
        <v>8</v>
      </c>
      <c r="G49" s="7" t="s">
        <v>299</v>
      </c>
      <c r="H49" s="20">
        <v>4.57</v>
      </c>
      <c r="I49" s="17"/>
      <c r="J49" s="17"/>
      <c r="K49" s="17"/>
      <c r="L49" s="17"/>
      <c r="M49" s="17"/>
      <c r="N49" s="17">
        <v>305</v>
      </c>
      <c r="O49" s="65"/>
      <c r="Q49" s="33">
        <v>333000</v>
      </c>
      <c r="R49" s="34">
        <v>150000</v>
      </c>
      <c r="S49" s="34">
        <v>333000</v>
      </c>
      <c r="T49" s="62">
        <v>4.42</v>
      </c>
      <c r="U49" s="68">
        <v>1470000</v>
      </c>
      <c r="W49" s="80">
        <v>4.57</v>
      </c>
      <c r="X49" s="80"/>
      <c r="Y49" s="80"/>
      <c r="Z49" s="80">
        <v>16.8</v>
      </c>
      <c r="AA49" s="80">
        <v>0.33</v>
      </c>
      <c r="AB49" s="72"/>
      <c r="AC49" s="30"/>
      <c r="AD49" s="31"/>
      <c r="AE49" s="31"/>
      <c r="AF49" s="31"/>
    </row>
    <row r="50" spans="1:32">
      <c r="A50" s="1">
        <v>43</v>
      </c>
      <c r="B50" s="7" t="s">
        <v>531</v>
      </c>
      <c r="C50" s="10"/>
      <c r="D50" s="1">
        <v>1984</v>
      </c>
      <c r="E50" s="7" t="s">
        <v>15</v>
      </c>
      <c r="F50" s="3" t="s">
        <v>241</v>
      </c>
      <c r="G50" s="7" t="s">
        <v>302</v>
      </c>
      <c r="H50" s="20"/>
      <c r="I50" s="17">
        <v>2.4</v>
      </c>
      <c r="J50" s="17"/>
      <c r="K50" s="17">
        <v>18</v>
      </c>
      <c r="L50" s="17"/>
      <c r="M50" s="17"/>
      <c r="N50" s="17"/>
      <c r="O50" s="65">
        <v>110</v>
      </c>
      <c r="P50" s="77" t="s">
        <v>518</v>
      </c>
      <c r="Q50" s="33"/>
      <c r="R50" s="34"/>
      <c r="S50" s="34">
        <v>160000</v>
      </c>
      <c r="T50" s="62">
        <v>3.81</v>
      </c>
      <c r="U50" s="68">
        <v>610000</v>
      </c>
      <c r="W50" s="80">
        <v>5.18</v>
      </c>
      <c r="X50" s="80"/>
      <c r="Y50" s="80"/>
      <c r="Z50" s="80">
        <v>13.5</v>
      </c>
      <c r="AA50" s="80">
        <v>0.38</v>
      </c>
      <c r="AB50" s="72">
        <v>1260</v>
      </c>
      <c r="AC50" s="30">
        <v>0.5</v>
      </c>
      <c r="AD50" s="31"/>
      <c r="AE50" s="31"/>
      <c r="AF50" s="31"/>
    </row>
    <row r="51" spans="1:32">
      <c r="A51" s="1">
        <v>44</v>
      </c>
      <c r="B51" s="7" t="s">
        <v>532</v>
      </c>
      <c r="C51" s="10"/>
      <c r="E51" s="7" t="s">
        <v>15</v>
      </c>
      <c r="G51" s="7" t="s">
        <v>248</v>
      </c>
      <c r="H51" s="20"/>
      <c r="I51" s="17"/>
      <c r="J51" s="17"/>
      <c r="K51" s="17"/>
      <c r="L51" s="17"/>
      <c r="M51" s="17"/>
      <c r="N51" s="17"/>
      <c r="O51" s="65"/>
      <c r="Q51" s="33"/>
      <c r="R51" s="34"/>
      <c r="S51" s="34">
        <v>423000</v>
      </c>
      <c r="T51" s="62">
        <v>20.100000000000001</v>
      </c>
      <c r="U51" s="68">
        <v>8500000</v>
      </c>
      <c r="W51" s="80">
        <v>21.3</v>
      </c>
      <c r="X51" s="80"/>
      <c r="Y51" s="80"/>
      <c r="Z51" s="80">
        <v>17.5</v>
      </c>
      <c r="AA51" s="80">
        <v>0.61</v>
      </c>
      <c r="AB51" s="72"/>
      <c r="AC51" s="30"/>
      <c r="AD51" s="31"/>
      <c r="AE51" s="31"/>
      <c r="AF51" s="31"/>
    </row>
    <row r="52" spans="1:32">
      <c r="A52" s="1">
        <v>45</v>
      </c>
      <c r="B52" s="3" t="s">
        <v>533</v>
      </c>
      <c r="C52" s="10">
        <v>1921</v>
      </c>
      <c r="D52" s="1">
        <v>1981</v>
      </c>
      <c r="E52" s="7" t="s">
        <v>15</v>
      </c>
      <c r="F52" s="3" t="s">
        <v>241</v>
      </c>
      <c r="G52" s="7" t="s">
        <v>255</v>
      </c>
      <c r="H52" s="20">
        <v>4.2699999999999996</v>
      </c>
      <c r="I52" s="17">
        <v>1.8</v>
      </c>
      <c r="J52" s="17"/>
      <c r="K52" s="17">
        <v>21.5</v>
      </c>
      <c r="L52" s="17">
        <v>4.75</v>
      </c>
      <c r="M52" s="17">
        <v>2.75</v>
      </c>
      <c r="N52" s="17"/>
      <c r="O52" s="65"/>
      <c r="Q52" s="33">
        <v>575000</v>
      </c>
      <c r="R52" s="34"/>
      <c r="S52" s="34">
        <v>575000</v>
      </c>
      <c r="T52" s="62">
        <v>3.05</v>
      </c>
      <c r="U52" s="68">
        <v>1750000</v>
      </c>
      <c r="V52" s="2" t="s">
        <v>238</v>
      </c>
      <c r="W52" s="80">
        <v>5.18</v>
      </c>
      <c r="X52" s="80">
        <v>13.4</v>
      </c>
      <c r="Y52" s="80">
        <v>2</v>
      </c>
      <c r="Z52" s="80">
        <v>8.23</v>
      </c>
      <c r="AA52" s="80">
        <v>1</v>
      </c>
      <c r="AB52" s="72">
        <v>673</v>
      </c>
      <c r="AC52" s="30"/>
      <c r="AD52" s="31"/>
      <c r="AE52" s="31"/>
      <c r="AF52" s="31"/>
    </row>
    <row r="53" spans="1:32">
      <c r="A53" s="35">
        <v>46</v>
      </c>
      <c r="B53" s="38" t="s">
        <v>305</v>
      </c>
      <c r="C53" s="37">
        <v>1835</v>
      </c>
      <c r="D53" s="35">
        <v>1889</v>
      </c>
      <c r="E53" s="36" t="s">
        <v>9</v>
      </c>
      <c r="F53" s="36" t="s">
        <v>306</v>
      </c>
      <c r="G53" s="36" t="s">
        <v>308</v>
      </c>
      <c r="H53" s="39">
        <v>38.1</v>
      </c>
      <c r="I53" s="40">
        <v>3.05</v>
      </c>
      <c r="J53" s="40"/>
      <c r="K53" s="40">
        <v>64</v>
      </c>
      <c r="L53" s="40">
        <v>2</v>
      </c>
      <c r="M53" s="40">
        <v>1.5</v>
      </c>
      <c r="N53" s="40">
        <v>284</v>
      </c>
      <c r="O53" s="66">
        <v>8500</v>
      </c>
      <c r="P53" s="76" t="s">
        <v>307</v>
      </c>
      <c r="Q53" s="41">
        <v>18900000</v>
      </c>
      <c r="R53" s="42">
        <v>1650000</v>
      </c>
      <c r="S53" s="42">
        <v>18900000</v>
      </c>
      <c r="T53" s="63">
        <v>24.6</v>
      </c>
      <c r="U53" s="69">
        <v>465000000</v>
      </c>
      <c r="V53" s="71" t="s">
        <v>238</v>
      </c>
      <c r="W53" s="63">
        <v>24.4</v>
      </c>
      <c r="X53" s="63">
        <v>128</v>
      </c>
      <c r="Y53" s="63">
        <v>61</v>
      </c>
      <c r="Z53" s="63">
        <v>94.5</v>
      </c>
      <c r="AA53" s="63">
        <v>1.38</v>
      </c>
      <c r="AB53" s="42">
        <v>68800</v>
      </c>
      <c r="AC53" s="43">
        <v>0.75</v>
      </c>
      <c r="AD53" s="44"/>
      <c r="AE53" s="44">
        <v>3.5</v>
      </c>
      <c r="AF53" s="44">
        <v>3.5</v>
      </c>
    </row>
    <row r="54" spans="1:32">
      <c r="A54" s="11">
        <v>47</v>
      </c>
      <c r="B54" s="46" t="s">
        <v>534</v>
      </c>
      <c r="C54" s="10">
        <v>1957</v>
      </c>
      <c r="D54" s="11">
        <v>1958</v>
      </c>
      <c r="E54" s="46" t="s">
        <v>9</v>
      </c>
      <c r="F54" s="46" t="s">
        <v>8</v>
      </c>
      <c r="G54" s="46" t="s">
        <v>535</v>
      </c>
      <c r="H54" s="20">
        <v>12.5</v>
      </c>
      <c r="I54" s="17"/>
      <c r="J54" s="17"/>
      <c r="K54" s="17"/>
      <c r="L54" s="17"/>
      <c r="M54" s="17"/>
      <c r="N54" s="17"/>
      <c r="O54" s="65"/>
      <c r="P54" s="17"/>
      <c r="Q54" s="33">
        <v>214000000</v>
      </c>
      <c r="R54" s="34"/>
      <c r="S54" s="34"/>
      <c r="T54" s="62"/>
      <c r="U54" s="68"/>
      <c r="V54" s="11"/>
      <c r="W54" s="62">
        <v>15.2</v>
      </c>
      <c r="X54" s="62">
        <v>30</v>
      </c>
      <c r="Y54" s="62"/>
      <c r="Z54" s="62">
        <v>137.19999999999999</v>
      </c>
      <c r="AA54" s="62"/>
      <c r="AB54" s="34"/>
      <c r="AC54" s="30"/>
      <c r="AD54" s="47">
        <v>1</v>
      </c>
      <c r="AE54" s="47"/>
      <c r="AF54" s="47"/>
    </row>
    <row r="55" spans="1:32">
      <c r="A55" s="11">
        <v>48</v>
      </c>
      <c r="B55" s="45" t="s">
        <v>536</v>
      </c>
      <c r="C55" s="10">
        <v>1948</v>
      </c>
      <c r="D55" s="11">
        <v>1977</v>
      </c>
      <c r="E55" s="46" t="s">
        <v>15</v>
      </c>
      <c r="F55" s="45" t="s">
        <v>241</v>
      </c>
      <c r="G55" s="46" t="s">
        <v>239</v>
      </c>
      <c r="H55" s="20">
        <v>11.58</v>
      </c>
      <c r="I55" s="17">
        <v>6.1</v>
      </c>
      <c r="J55" s="17"/>
      <c r="K55" s="17">
        <v>19.399999999999999</v>
      </c>
      <c r="L55" s="17">
        <v>1</v>
      </c>
      <c r="M55" s="17">
        <v>1</v>
      </c>
      <c r="N55" s="17"/>
      <c r="O55" s="65">
        <v>680</v>
      </c>
      <c r="P55" s="18" t="s">
        <v>537</v>
      </c>
      <c r="Q55" s="33">
        <v>505000</v>
      </c>
      <c r="R55" s="34">
        <v>170000</v>
      </c>
      <c r="S55" s="34">
        <v>77000</v>
      </c>
      <c r="T55" s="62">
        <v>11.3</v>
      </c>
      <c r="U55" s="68">
        <v>8780000</v>
      </c>
      <c r="V55" s="2" t="s">
        <v>238</v>
      </c>
      <c r="W55" s="62">
        <v>12.8</v>
      </c>
      <c r="X55" s="62">
        <v>35</v>
      </c>
      <c r="Y55" s="62">
        <v>18</v>
      </c>
      <c r="Z55" s="62">
        <v>27.3</v>
      </c>
      <c r="AA55" s="62">
        <v>0.85</v>
      </c>
      <c r="AB55" s="34">
        <v>9940</v>
      </c>
      <c r="AC55" s="30"/>
      <c r="AD55" s="47">
        <v>0.5</v>
      </c>
      <c r="AE55" s="47"/>
      <c r="AF55" s="47"/>
    </row>
    <row r="56" spans="1:32">
      <c r="A56" s="11">
        <v>49</v>
      </c>
      <c r="B56" s="46" t="s">
        <v>538</v>
      </c>
      <c r="C56" s="10">
        <v>1900</v>
      </c>
      <c r="D56" s="11">
        <v>1990</v>
      </c>
      <c r="E56" s="46" t="s">
        <v>9</v>
      </c>
      <c r="F56" s="46" t="s">
        <v>8</v>
      </c>
      <c r="G56" s="46" t="s">
        <v>411</v>
      </c>
      <c r="H56" s="20">
        <v>5.49</v>
      </c>
      <c r="I56" s="17"/>
      <c r="J56" s="17"/>
      <c r="K56" s="17"/>
      <c r="L56" s="17"/>
      <c r="M56" s="17"/>
      <c r="N56" s="17">
        <v>128</v>
      </c>
      <c r="O56" s="65"/>
      <c r="P56" s="17"/>
      <c r="Q56" s="33">
        <v>728000</v>
      </c>
      <c r="R56" s="34">
        <v>166000</v>
      </c>
      <c r="S56" s="34"/>
      <c r="T56" s="62"/>
      <c r="U56" s="68"/>
      <c r="V56" s="11"/>
      <c r="W56" s="62"/>
      <c r="X56" s="62"/>
      <c r="Y56" s="62"/>
      <c r="Z56" s="62"/>
      <c r="AA56" s="62"/>
      <c r="AB56" s="34"/>
      <c r="AC56" s="30"/>
      <c r="AD56" s="47"/>
      <c r="AE56" s="47"/>
      <c r="AF56" s="47"/>
    </row>
    <row r="57" spans="1:32">
      <c r="A57" s="5">
        <v>50</v>
      </c>
      <c r="B57" s="48" t="s">
        <v>311</v>
      </c>
      <c r="C57" s="49"/>
      <c r="D57" s="5">
        <v>1994</v>
      </c>
      <c r="E57" s="48" t="s">
        <v>9</v>
      </c>
      <c r="F57" s="50" t="s">
        <v>241</v>
      </c>
      <c r="G57" s="48" t="s">
        <v>23</v>
      </c>
      <c r="H57" s="51"/>
      <c r="I57" s="52"/>
      <c r="J57" s="52"/>
      <c r="K57" s="52">
        <v>8.1</v>
      </c>
      <c r="L57" s="52"/>
      <c r="M57" s="52"/>
      <c r="N57" s="52"/>
      <c r="O57" s="67"/>
      <c r="P57" s="52"/>
      <c r="Q57" s="53"/>
      <c r="R57" s="54"/>
      <c r="S57" s="54">
        <v>177000</v>
      </c>
      <c r="T57" s="64">
        <v>3.66</v>
      </c>
      <c r="U57" s="70">
        <v>648000</v>
      </c>
      <c r="V57" s="5"/>
      <c r="W57" s="64">
        <v>3.2</v>
      </c>
      <c r="X57" s="64"/>
      <c r="Y57" s="64"/>
      <c r="Z57" s="64">
        <v>14.5</v>
      </c>
      <c r="AA57" s="64">
        <v>1.48</v>
      </c>
      <c r="AB57" s="54">
        <v>376</v>
      </c>
      <c r="AC57" s="55"/>
      <c r="AD57" s="56"/>
      <c r="AE57" s="56"/>
      <c r="AF57" s="56"/>
    </row>
    <row r="58" spans="1:32">
      <c r="A58" s="1">
        <v>51</v>
      </c>
      <c r="B58" s="7" t="s">
        <v>539</v>
      </c>
      <c r="C58" s="10">
        <v>1930</v>
      </c>
      <c r="D58" s="1">
        <v>1930</v>
      </c>
      <c r="E58" s="7" t="s">
        <v>15</v>
      </c>
      <c r="F58" s="3" t="s">
        <v>241</v>
      </c>
      <c r="G58" s="7" t="s">
        <v>246</v>
      </c>
      <c r="H58" s="20"/>
      <c r="I58" s="17">
        <v>4.9000000000000004</v>
      </c>
      <c r="J58" s="17"/>
      <c r="K58" s="17">
        <v>40</v>
      </c>
      <c r="L58" s="17"/>
      <c r="M58" s="17"/>
      <c r="N58" s="17"/>
      <c r="O58" s="65"/>
      <c r="Q58" s="33"/>
      <c r="R58" s="34"/>
      <c r="S58" s="34">
        <v>78900000</v>
      </c>
      <c r="T58" s="62">
        <v>7.9</v>
      </c>
      <c r="U58" s="68">
        <v>623000000</v>
      </c>
      <c r="W58" s="80">
        <v>14</v>
      </c>
      <c r="X58" s="80"/>
      <c r="Y58" s="80"/>
      <c r="Z58" s="80">
        <v>58.8</v>
      </c>
      <c r="AA58" s="80">
        <v>0.3</v>
      </c>
      <c r="AB58" s="72">
        <v>32900</v>
      </c>
      <c r="AC58" s="30"/>
      <c r="AD58" s="31"/>
      <c r="AE58" s="31"/>
      <c r="AF58" s="31"/>
    </row>
    <row r="59" spans="1:32">
      <c r="A59" s="1">
        <v>52</v>
      </c>
      <c r="B59" s="7" t="s">
        <v>540</v>
      </c>
      <c r="C59" s="10">
        <v>1894</v>
      </c>
      <c r="D59" s="1">
        <v>1904</v>
      </c>
      <c r="E59" s="7" t="s">
        <v>15</v>
      </c>
      <c r="F59" s="7" t="s">
        <v>8</v>
      </c>
      <c r="G59" s="7" t="s">
        <v>314</v>
      </c>
      <c r="H59" s="20">
        <v>14.5</v>
      </c>
      <c r="I59" s="17"/>
      <c r="J59" s="17"/>
      <c r="K59" s="17">
        <v>42.7</v>
      </c>
      <c r="L59" s="17"/>
      <c r="M59" s="17"/>
      <c r="N59" s="17"/>
      <c r="O59" s="65">
        <v>2320</v>
      </c>
      <c r="P59" s="6" t="s">
        <v>275</v>
      </c>
      <c r="Q59" s="33">
        <v>7750000</v>
      </c>
      <c r="R59" s="34"/>
      <c r="S59" s="34">
        <v>31500000</v>
      </c>
      <c r="T59" s="62">
        <v>13.7</v>
      </c>
      <c r="U59" s="68">
        <v>432000000</v>
      </c>
      <c r="W59" s="80">
        <v>14.6</v>
      </c>
      <c r="X59" s="80"/>
      <c r="Y59" s="80"/>
      <c r="Z59" s="80">
        <v>130</v>
      </c>
      <c r="AA59" s="80">
        <v>0.52</v>
      </c>
      <c r="AB59" s="72">
        <v>81000</v>
      </c>
      <c r="AC59" s="30"/>
      <c r="AD59" s="31">
        <v>2</v>
      </c>
      <c r="AE59" s="31"/>
      <c r="AF59" s="31"/>
    </row>
    <row r="60" spans="1:32">
      <c r="A60" s="1">
        <v>53</v>
      </c>
      <c r="B60" s="7" t="s">
        <v>541</v>
      </c>
      <c r="C60" s="10">
        <v>1913</v>
      </c>
      <c r="D60" s="1">
        <v>1972</v>
      </c>
      <c r="E60" s="7" t="s">
        <v>9</v>
      </c>
      <c r="F60" s="7" t="s">
        <v>8</v>
      </c>
      <c r="G60" s="7" t="s">
        <v>494</v>
      </c>
      <c r="H60" s="20">
        <v>21.03</v>
      </c>
      <c r="I60" s="17"/>
      <c r="J60" s="17"/>
      <c r="K60" s="17"/>
      <c r="L60" s="17"/>
      <c r="M60" s="17"/>
      <c r="N60" s="17"/>
      <c r="O60" s="65"/>
      <c r="Q60" s="33">
        <v>3120000</v>
      </c>
      <c r="R60" s="34"/>
      <c r="S60" s="34"/>
      <c r="T60" s="62"/>
      <c r="U60" s="68"/>
      <c r="W60" s="80">
        <v>11</v>
      </c>
      <c r="X60" s="80">
        <v>23</v>
      </c>
      <c r="Y60" s="80"/>
      <c r="Z60" s="80"/>
      <c r="AA60" s="80"/>
      <c r="AB60" s="72"/>
      <c r="AC60" s="30"/>
      <c r="AD60" s="31">
        <v>1</v>
      </c>
      <c r="AE60" s="31"/>
      <c r="AF60" s="32" t="s">
        <v>542</v>
      </c>
    </row>
    <row r="61" spans="1:32">
      <c r="A61" s="1">
        <v>54</v>
      </c>
      <c r="B61" s="3" t="s">
        <v>543</v>
      </c>
      <c r="C61" s="10">
        <v>1899</v>
      </c>
      <c r="D61" s="1">
        <v>1899</v>
      </c>
      <c r="E61" s="7" t="s">
        <v>15</v>
      </c>
      <c r="F61" s="3" t="s">
        <v>241</v>
      </c>
      <c r="G61" s="7" t="s">
        <v>255</v>
      </c>
      <c r="H61" s="20">
        <v>15.24</v>
      </c>
      <c r="I61" s="17">
        <v>4.9000000000000004</v>
      </c>
      <c r="J61" s="17"/>
      <c r="K61" s="17">
        <v>47.4</v>
      </c>
      <c r="L61" s="17">
        <v>3</v>
      </c>
      <c r="M61" s="17">
        <v>2</v>
      </c>
      <c r="N61" s="17"/>
      <c r="O61" s="65"/>
      <c r="Q61" s="33">
        <v>865000</v>
      </c>
      <c r="R61" s="34">
        <v>174000</v>
      </c>
      <c r="S61" s="34">
        <v>789000</v>
      </c>
      <c r="T61" s="62">
        <v>14</v>
      </c>
      <c r="U61" s="68">
        <v>11000000</v>
      </c>
      <c r="V61" s="2" t="s">
        <v>238</v>
      </c>
      <c r="W61" s="80">
        <v>17.100000000000001</v>
      </c>
      <c r="X61" s="80">
        <v>30</v>
      </c>
      <c r="Y61" s="80">
        <v>10.4</v>
      </c>
      <c r="Z61" s="80">
        <v>18.899999999999999</v>
      </c>
      <c r="AA61" s="80">
        <v>0.65</v>
      </c>
      <c r="AB61" s="72">
        <v>12400</v>
      </c>
      <c r="AC61" s="30"/>
      <c r="AD61" s="31">
        <v>1</v>
      </c>
      <c r="AE61" s="31">
        <v>1</v>
      </c>
      <c r="AF61" s="31"/>
    </row>
    <row r="62" spans="1:32">
      <c r="A62" s="35">
        <v>55</v>
      </c>
      <c r="B62" s="36" t="s">
        <v>316</v>
      </c>
      <c r="C62" s="37"/>
      <c r="D62" s="35"/>
      <c r="E62" s="36" t="s">
        <v>15</v>
      </c>
      <c r="F62" s="36" t="s">
        <v>8</v>
      </c>
      <c r="G62" s="36" t="s">
        <v>248</v>
      </c>
      <c r="H62" s="39"/>
      <c r="I62" s="40"/>
      <c r="J62" s="40"/>
      <c r="K62" s="40">
        <v>19.8</v>
      </c>
      <c r="L62" s="40"/>
      <c r="M62" s="40"/>
      <c r="N62" s="40"/>
      <c r="O62" s="66"/>
      <c r="P62" s="40"/>
      <c r="Q62" s="41"/>
      <c r="R62" s="42"/>
      <c r="S62" s="42">
        <v>680000</v>
      </c>
      <c r="T62" s="63">
        <v>6.71</v>
      </c>
      <c r="U62" s="69">
        <v>4560000</v>
      </c>
      <c r="V62" s="35"/>
      <c r="W62" s="63">
        <v>7.92</v>
      </c>
      <c r="X62" s="63"/>
      <c r="Y62" s="63"/>
      <c r="Z62" s="63">
        <v>16.8</v>
      </c>
      <c r="AA62" s="63">
        <v>1.54</v>
      </c>
      <c r="AB62" s="42">
        <v>2630</v>
      </c>
      <c r="AC62" s="43"/>
      <c r="AD62" s="44"/>
      <c r="AE62" s="44"/>
      <c r="AF62" s="44"/>
    </row>
    <row r="63" spans="1:32">
      <c r="A63" s="11">
        <v>56</v>
      </c>
      <c r="B63" s="46" t="s">
        <v>544</v>
      </c>
      <c r="C63" s="10">
        <v>1966</v>
      </c>
      <c r="D63" s="11">
        <v>1966</v>
      </c>
      <c r="E63" s="46" t="s">
        <v>15</v>
      </c>
      <c r="F63" s="45" t="s">
        <v>241</v>
      </c>
      <c r="G63" s="46" t="s">
        <v>318</v>
      </c>
      <c r="H63" s="20">
        <v>13</v>
      </c>
      <c r="I63" s="17">
        <v>6.1</v>
      </c>
      <c r="J63" s="17"/>
      <c r="K63" s="17">
        <v>28</v>
      </c>
      <c r="L63" s="17"/>
      <c r="M63" s="17"/>
      <c r="N63" s="17"/>
      <c r="O63" s="65">
        <v>290</v>
      </c>
      <c r="P63" s="17" t="s">
        <v>275</v>
      </c>
      <c r="Q63" s="33">
        <v>1590000</v>
      </c>
      <c r="R63" s="34"/>
      <c r="S63" s="34">
        <v>4090000</v>
      </c>
      <c r="T63" s="62">
        <v>6.25</v>
      </c>
      <c r="U63" s="68">
        <v>25600000</v>
      </c>
      <c r="V63" s="11"/>
      <c r="W63" s="62">
        <v>8.69</v>
      </c>
      <c r="X63" s="62"/>
      <c r="Y63" s="62"/>
      <c r="Z63" s="62">
        <v>39.200000000000003</v>
      </c>
      <c r="AA63" s="62">
        <v>1.18</v>
      </c>
      <c r="AB63" s="34">
        <v>9540</v>
      </c>
      <c r="AC63" s="30"/>
      <c r="AD63" s="47">
        <v>3</v>
      </c>
      <c r="AE63" s="47"/>
      <c r="AF63" s="47"/>
    </row>
    <row r="64" spans="1:32">
      <c r="A64" s="11">
        <v>57</v>
      </c>
      <c r="B64" s="46" t="s">
        <v>319</v>
      </c>
      <c r="C64" s="10">
        <v>1965</v>
      </c>
      <c r="D64" s="11">
        <v>1994</v>
      </c>
      <c r="E64" s="46" t="s">
        <v>9</v>
      </c>
      <c r="F64" s="45" t="s">
        <v>241</v>
      </c>
      <c r="G64" s="46" t="s">
        <v>23</v>
      </c>
      <c r="H64" s="20"/>
      <c r="I64" s="17"/>
      <c r="J64" s="17"/>
      <c r="K64" s="17">
        <v>28</v>
      </c>
      <c r="L64" s="17"/>
      <c r="M64" s="17"/>
      <c r="N64" s="17"/>
      <c r="O64" s="65"/>
      <c r="P64" s="17"/>
      <c r="Q64" s="33"/>
      <c r="R64" s="34"/>
      <c r="S64" s="34">
        <v>4780000</v>
      </c>
      <c r="T64" s="62">
        <v>9</v>
      </c>
      <c r="U64" s="68">
        <v>43000000</v>
      </c>
      <c r="V64" s="11"/>
      <c r="W64" s="62">
        <v>8.5299999999999994</v>
      </c>
      <c r="X64" s="62"/>
      <c r="Y64" s="62"/>
      <c r="Z64" s="62">
        <v>47.2</v>
      </c>
      <c r="AA64" s="62">
        <v>0.33</v>
      </c>
      <c r="AB64" s="34">
        <v>11300</v>
      </c>
      <c r="AC64" s="30"/>
      <c r="AD64" s="47"/>
      <c r="AE64" s="47"/>
      <c r="AF64" s="47"/>
    </row>
    <row r="65" spans="1:32">
      <c r="A65" s="11">
        <v>58</v>
      </c>
      <c r="B65" s="46" t="s">
        <v>545</v>
      </c>
      <c r="C65" s="10"/>
      <c r="D65" s="11"/>
      <c r="E65" s="46" t="s">
        <v>15</v>
      </c>
      <c r="F65" s="46" t="s">
        <v>8</v>
      </c>
      <c r="G65" s="46" t="s">
        <v>248</v>
      </c>
      <c r="H65" s="20"/>
      <c r="I65" s="17"/>
      <c r="J65" s="17"/>
      <c r="K65" s="17">
        <v>53.9</v>
      </c>
      <c r="L65" s="17"/>
      <c r="M65" s="17"/>
      <c r="N65" s="17"/>
      <c r="O65" s="65"/>
      <c r="P65" s="17"/>
      <c r="Q65" s="33"/>
      <c r="R65" s="34"/>
      <c r="S65" s="34">
        <v>296000</v>
      </c>
      <c r="T65" s="62">
        <v>12.8</v>
      </c>
      <c r="U65" s="68">
        <v>3790000</v>
      </c>
      <c r="V65" s="11"/>
      <c r="W65" s="62">
        <v>14.3</v>
      </c>
      <c r="X65" s="62"/>
      <c r="Y65" s="62"/>
      <c r="Z65" s="62">
        <v>7.62</v>
      </c>
      <c r="AA65" s="62">
        <v>0.21</v>
      </c>
      <c r="AB65" s="34">
        <v>5870</v>
      </c>
      <c r="AC65" s="30"/>
      <c r="AD65" s="47"/>
      <c r="AE65" s="47"/>
      <c r="AF65" s="47"/>
    </row>
    <row r="66" spans="1:32">
      <c r="A66" s="5">
        <v>59</v>
      </c>
      <c r="B66" s="50" t="s">
        <v>546</v>
      </c>
      <c r="C66" s="49"/>
      <c r="D66" s="5">
        <v>1977</v>
      </c>
      <c r="E66" s="48" t="s">
        <v>9</v>
      </c>
      <c r="F66" s="48" t="s">
        <v>8</v>
      </c>
      <c r="G66" s="48" t="s">
        <v>239</v>
      </c>
      <c r="H66" s="51">
        <v>12.8</v>
      </c>
      <c r="I66" s="52">
        <v>6.1</v>
      </c>
      <c r="J66" s="52"/>
      <c r="K66" s="52">
        <v>40.5</v>
      </c>
      <c r="L66" s="52"/>
      <c r="M66" s="52"/>
      <c r="N66" s="52"/>
      <c r="O66" s="67">
        <v>1050</v>
      </c>
      <c r="P66" s="79" t="s">
        <v>547</v>
      </c>
      <c r="Q66" s="53">
        <v>385000</v>
      </c>
      <c r="R66" s="54"/>
      <c r="S66" s="54">
        <v>555000</v>
      </c>
      <c r="T66" s="64">
        <v>14.1</v>
      </c>
      <c r="U66" s="70">
        <v>7830000</v>
      </c>
      <c r="V66" s="5"/>
      <c r="W66" s="64">
        <v>13.7</v>
      </c>
      <c r="X66" s="64"/>
      <c r="Y66" s="64"/>
      <c r="Z66" s="64">
        <v>35.1</v>
      </c>
      <c r="AA66" s="64">
        <v>2.4</v>
      </c>
      <c r="AB66" s="54">
        <v>19500</v>
      </c>
      <c r="AC66" s="55"/>
      <c r="AD66" s="56"/>
      <c r="AE66" s="56"/>
      <c r="AF66" s="56"/>
    </row>
    <row r="67" spans="1:32">
      <c r="A67" s="11">
        <v>60</v>
      </c>
      <c r="B67" s="46" t="s">
        <v>548</v>
      </c>
      <c r="C67" s="10">
        <v>1903</v>
      </c>
      <c r="D67" s="11">
        <v>1982</v>
      </c>
      <c r="E67" s="46" t="s">
        <v>15</v>
      </c>
      <c r="F67" s="45" t="s">
        <v>241</v>
      </c>
      <c r="G67" s="46" t="s">
        <v>325</v>
      </c>
      <c r="H67" s="20">
        <v>7.9</v>
      </c>
      <c r="I67" s="17">
        <v>2.4</v>
      </c>
      <c r="J67" s="17"/>
      <c r="K67" s="17">
        <v>14.2</v>
      </c>
      <c r="L67" s="17"/>
      <c r="M67" s="17"/>
      <c r="N67" s="17"/>
      <c r="O67" s="65">
        <v>510</v>
      </c>
      <c r="P67" s="18" t="s">
        <v>324</v>
      </c>
      <c r="Q67" s="33"/>
      <c r="R67" s="34"/>
      <c r="S67" s="34">
        <v>798000</v>
      </c>
      <c r="T67" s="62">
        <v>6.71</v>
      </c>
      <c r="U67" s="68">
        <v>5350000</v>
      </c>
      <c r="V67" s="11"/>
      <c r="W67" s="62">
        <v>7.62</v>
      </c>
      <c r="X67" s="62"/>
      <c r="Y67" s="62"/>
      <c r="Z67" s="62">
        <v>22.2</v>
      </c>
      <c r="AA67" s="62">
        <v>0.96</v>
      </c>
      <c r="AB67" s="34">
        <v>2400</v>
      </c>
      <c r="AC67" s="30"/>
      <c r="AD67" s="47"/>
      <c r="AE67" s="47"/>
      <c r="AF67" s="47"/>
    </row>
    <row r="68" spans="1:32">
      <c r="A68" s="11">
        <v>61</v>
      </c>
      <c r="B68" s="46" t="s">
        <v>549</v>
      </c>
      <c r="C68" s="10">
        <v>1913</v>
      </c>
      <c r="D68" s="11">
        <v>1951</v>
      </c>
      <c r="E68" s="46" t="s">
        <v>15</v>
      </c>
      <c r="F68" s="45" t="s">
        <v>241</v>
      </c>
      <c r="G68" s="46" t="s">
        <v>302</v>
      </c>
      <c r="H68" s="20"/>
      <c r="I68" s="17"/>
      <c r="J68" s="17"/>
      <c r="K68" s="17"/>
      <c r="L68" s="17"/>
      <c r="M68" s="17"/>
      <c r="N68" s="17"/>
      <c r="O68" s="65">
        <v>71</v>
      </c>
      <c r="P68" s="18" t="s">
        <v>550</v>
      </c>
      <c r="Q68" s="33"/>
      <c r="R68" s="34"/>
      <c r="S68" s="34">
        <v>92500</v>
      </c>
      <c r="T68" s="62">
        <v>3.35</v>
      </c>
      <c r="U68" s="68">
        <v>310000</v>
      </c>
      <c r="V68" s="11"/>
      <c r="W68" s="62">
        <v>3.66</v>
      </c>
      <c r="X68" s="62"/>
      <c r="Y68" s="62"/>
      <c r="Z68" s="62">
        <v>10.8</v>
      </c>
      <c r="AA68" s="62">
        <v>0.13</v>
      </c>
      <c r="AB68" s="34"/>
      <c r="AC68" s="30"/>
      <c r="AD68" s="47"/>
      <c r="AE68" s="47"/>
      <c r="AF68" s="47"/>
    </row>
    <row r="69" spans="1:32">
      <c r="A69" s="11">
        <v>62</v>
      </c>
      <c r="B69" s="45" t="s">
        <v>328</v>
      </c>
      <c r="C69" s="10">
        <v>1962</v>
      </c>
      <c r="D69" s="11">
        <v>1963</v>
      </c>
      <c r="E69" s="46" t="s">
        <v>15</v>
      </c>
      <c r="F69" s="45" t="s">
        <v>241</v>
      </c>
      <c r="G69" s="46" t="s">
        <v>239</v>
      </c>
      <c r="H69" s="20">
        <v>26.21</v>
      </c>
      <c r="I69" s="17">
        <v>6.1</v>
      </c>
      <c r="J69" s="17"/>
      <c r="K69" s="17">
        <v>63.1</v>
      </c>
      <c r="L69" s="17"/>
      <c r="M69" s="17"/>
      <c r="N69" s="17"/>
      <c r="O69" s="65">
        <v>1330</v>
      </c>
      <c r="P69" s="18" t="s">
        <v>550</v>
      </c>
      <c r="Q69" s="33">
        <v>1730000</v>
      </c>
      <c r="R69" s="34"/>
      <c r="S69" s="34">
        <v>1360000</v>
      </c>
      <c r="T69" s="62">
        <v>22.9</v>
      </c>
      <c r="U69" s="68">
        <v>31100000</v>
      </c>
      <c r="V69" s="4" t="s">
        <v>238</v>
      </c>
      <c r="W69" s="62">
        <v>27.1</v>
      </c>
      <c r="X69" s="62">
        <v>23</v>
      </c>
      <c r="Y69" s="62"/>
      <c r="Z69" s="62">
        <v>29.6</v>
      </c>
      <c r="AA69" s="62">
        <v>0.75</v>
      </c>
      <c r="AB69" s="34">
        <v>506000</v>
      </c>
      <c r="AC69" s="30">
        <v>0.33</v>
      </c>
      <c r="AD69" s="47">
        <v>0.33</v>
      </c>
      <c r="AE69" s="47">
        <v>0.33</v>
      </c>
      <c r="AF69" s="47"/>
    </row>
    <row r="70" spans="1:32">
      <c r="A70" s="11">
        <v>63</v>
      </c>
      <c r="B70" s="46" t="s">
        <v>551</v>
      </c>
      <c r="C70" s="10"/>
      <c r="D70" s="11"/>
      <c r="E70" s="46" t="s">
        <v>15</v>
      </c>
      <c r="F70" s="45"/>
      <c r="G70" s="46" t="s">
        <v>248</v>
      </c>
      <c r="H70" s="20"/>
      <c r="I70" s="17"/>
      <c r="J70" s="17"/>
      <c r="K70" s="17">
        <v>11.3</v>
      </c>
      <c r="L70" s="17"/>
      <c r="M70" s="17"/>
      <c r="N70" s="17"/>
      <c r="O70" s="65"/>
      <c r="P70" s="17"/>
      <c r="Q70" s="33"/>
      <c r="R70" s="34"/>
      <c r="S70" s="34">
        <v>284000</v>
      </c>
      <c r="T70" s="62">
        <v>3.17</v>
      </c>
      <c r="U70" s="68">
        <v>900000</v>
      </c>
      <c r="V70" s="11"/>
      <c r="W70" s="62">
        <v>3.66</v>
      </c>
      <c r="X70" s="62"/>
      <c r="Y70" s="62"/>
      <c r="Z70" s="62">
        <v>9.14</v>
      </c>
      <c r="AA70" s="62">
        <v>0.4</v>
      </c>
      <c r="AB70" s="34">
        <v>378</v>
      </c>
      <c r="AC70" s="30"/>
      <c r="AD70" s="47"/>
      <c r="AE70" s="47"/>
      <c r="AF70" s="47"/>
    </row>
    <row r="71" spans="1:32">
      <c r="A71" s="11">
        <v>64</v>
      </c>
      <c r="B71" s="46" t="s">
        <v>552</v>
      </c>
      <c r="C71" s="10"/>
      <c r="D71" s="11">
        <v>1973</v>
      </c>
      <c r="E71" s="46" t="s">
        <v>15</v>
      </c>
      <c r="F71" s="45" t="s">
        <v>241</v>
      </c>
      <c r="G71" s="46" t="s">
        <v>331</v>
      </c>
      <c r="H71" s="20"/>
      <c r="I71" s="17">
        <v>4.5999999999999996</v>
      </c>
      <c r="J71" s="17"/>
      <c r="K71" s="17">
        <v>25.7</v>
      </c>
      <c r="L71" s="17"/>
      <c r="M71" s="17"/>
      <c r="N71" s="17"/>
      <c r="O71" s="65">
        <v>340</v>
      </c>
      <c r="P71" s="18" t="s">
        <v>550</v>
      </c>
      <c r="Q71" s="33">
        <v>7080000</v>
      </c>
      <c r="R71" s="34"/>
      <c r="S71" s="34">
        <v>7080000</v>
      </c>
      <c r="T71" s="62">
        <v>5.79</v>
      </c>
      <c r="U71" s="68">
        <v>41000000</v>
      </c>
      <c r="V71" s="11"/>
      <c r="W71" s="62">
        <v>7.01</v>
      </c>
      <c r="X71" s="62"/>
      <c r="Y71" s="62"/>
      <c r="Z71" s="62">
        <v>79.2</v>
      </c>
      <c r="AA71" s="62">
        <v>6.3</v>
      </c>
      <c r="AB71" s="34">
        <v>14300</v>
      </c>
      <c r="AC71" s="30">
        <v>1.5</v>
      </c>
      <c r="AD71" s="47"/>
      <c r="AE71" s="47"/>
      <c r="AF71" s="47"/>
    </row>
    <row r="72" spans="1:32">
      <c r="A72" s="35">
        <v>65</v>
      </c>
      <c r="B72" s="38" t="s">
        <v>553</v>
      </c>
      <c r="C72" s="37">
        <v>1897</v>
      </c>
      <c r="D72" s="35">
        <v>1916</v>
      </c>
      <c r="E72" s="36" t="s">
        <v>9</v>
      </c>
      <c r="F72" s="36" t="s">
        <v>333</v>
      </c>
      <c r="G72" s="36" t="s">
        <v>296</v>
      </c>
      <c r="H72" s="39">
        <v>41.15</v>
      </c>
      <c r="I72" s="40">
        <v>3.7</v>
      </c>
      <c r="J72" s="40"/>
      <c r="K72" s="40">
        <v>53.3</v>
      </c>
      <c r="L72" s="40">
        <v>1</v>
      </c>
      <c r="M72" s="40">
        <v>1</v>
      </c>
      <c r="N72" s="40">
        <v>172</v>
      </c>
      <c r="O72" s="66"/>
      <c r="P72" s="40"/>
      <c r="Q72" s="41">
        <v>49300000</v>
      </c>
      <c r="R72" s="42"/>
      <c r="S72" s="42">
        <v>49300000</v>
      </c>
      <c r="T72" s="63">
        <v>39.6</v>
      </c>
      <c r="U72" s="69">
        <v>1950000000</v>
      </c>
      <c r="V72" s="82" t="s">
        <v>238</v>
      </c>
      <c r="W72" s="63">
        <v>39.6</v>
      </c>
      <c r="X72" s="63">
        <v>172</v>
      </c>
      <c r="Y72" s="63">
        <v>93.8</v>
      </c>
      <c r="Z72" s="63">
        <v>133</v>
      </c>
      <c r="AA72" s="63">
        <v>1</v>
      </c>
      <c r="AB72" s="42">
        <v>107000</v>
      </c>
      <c r="AC72" s="43">
        <v>1</v>
      </c>
      <c r="AD72" s="44">
        <v>0.25</v>
      </c>
      <c r="AE72" s="44">
        <v>0.33</v>
      </c>
      <c r="AF72" s="44">
        <v>2.5</v>
      </c>
    </row>
    <row r="73" spans="1:32">
      <c r="A73" s="11">
        <v>66</v>
      </c>
      <c r="B73" s="45" t="s">
        <v>554</v>
      </c>
      <c r="C73" s="10">
        <v>1913</v>
      </c>
      <c r="D73" s="11">
        <v>1964</v>
      </c>
      <c r="E73" s="46" t="s">
        <v>15</v>
      </c>
      <c r="F73" s="45" t="s">
        <v>241</v>
      </c>
      <c r="G73" s="46" t="s">
        <v>239</v>
      </c>
      <c r="H73" s="20">
        <v>11.28</v>
      </c>
      <c r="I73" s="17">
        <v>3.7</v>
      </c>
      <c r="J73" s="17"/>
      <c r="K73" s="17"/>
      <c r="L73" s="17"/>
      <c r="M73" s="17"/>
      <c r="N73" s="17"/>
      <c r="O73" s="65">
        <v>1800</v>
      </c>
      <c r="P73" s="18" t="s">
        <v>555</v>
      </c>
      <c r="Q73" s="33">
        <v>19600000</v>
      </c>
      <c r="R73" s="34"/>
      <c r="S73" s="34">
        <v>29600000</v>
      </c>
      <c r="T73" s="62">
        <v>11.3</v>
      </c>
      <c r="U73" s="68">
        <v>334000000</v>
      </c>
      <c r="V73" s="4" t="s">
        <v>238</v>
      </c>
      <c r="W73" s="62">
        <v>11.3</v>
      </c>
      <c r="X73" s="62"/>
      <c r="Y73" s="62"/>
      <c r="Z73" s="62">
        <v>67</v>
      </c>
      <c r="AA73" s="62">
        <v>1.5</v>
      </c>
      <c r="AB73" s="34"/>
      <c r="AC73" s="30"/>
      <c r="AD73" s="47"/>
      <c r="AE73" s="47"/>
      <c r="AF73" s="47"/>
    </row>
    <row r="74" spans="1:32">
      <c r="A74" s="11">
        <v>67</v>
      </c>
      <c r="B74" s="45" t="s">
        <v>556</v>
      </c>
      <c r="C74" s="10">
        <v>1913</v>
      </c>
      <c r="D74" s="11">
        <v>1915</v>
      </c>
      <c r="E74" s="46" t="s">
        <v>15</v>
      </c>
      <c r="F74" s="46" t="s">
        <v>290</v>
      </c>
      <c r="G74" s="46" t="s">
        <v>337</v>
      </c>
      <c r="H74" s="20">
        <v>19.809999999999999</v>
      </c>
      <c r="I74" s="17">
        <v>3.7</v>
      </c>
      <c r="J74" s="17"/>
      <c r="K74" s="17"/>
      <c r="L74" s="17">
        <v>2</v>
      </c>
      <c r="M74" s="17">
        <v>2</v>
      </c>
      <c r="N74" s="17"/>
      <c r="O74" s="65"/>
      <c r="P74" s="17"/>
      <c r="Q74" s="33">
        <v>49500000</v>
      </c>
      <c r="R74" s="34"/>
      <c r="S74" s="34">
        <v>35800000</v>
      </c>
      <c r="T74" s="62">
        <v>16.2</v>
      </c>
      <c r="U74" s="68">
        <v>580000000</v>
      </c>
      <c r="V74" s="4" t="s">
        <v>238</v>
      </c>
      <c r="W74" s="62">
        <v>19.8</v>
      </c>
      <c r="X74" s="62">
        <v>107</v>
      </c>
      <c r="Y74" s="62">
        <v>87</v>
      </c>
      <c r="Z74" s="62">
        <v>97</v>
      </c>
      <c r="AA74" s="62">
        <v>1</v>
      </c>
      <c r="AB74" s="34">
        <v>71900</v>
      </c>
      <c r="AC74" s="30"/>
      <c r="AD74" s="47"/>
      <c r="AE74" s="47"/>
      <c r="AF74" s="47"/>
    </row>
    <row r="75" spans="1:32">
      <c r="A75" s="11">
        <v>68</v>
      </c>
      <c r="B75" s="45" t="s">
        <v>557</v>
      </c>
      <c r="C75" s="10">
        <v>1871</v>
      </c>
      <c r="D75" s="11">
        <v>1876</v>
      </c>
      <c r="E75" s="46" t="s">
        <v>15</v>
      </c>
      <c r="F75" s="46" t="s">
        <v>266</v>
      </c>
      <c r="G75" s="46" t="s">
        <v>339</v>
      </c>
      <c r="H75" s="20">
        <v>12.5</v>
      </c>
      <c r="I75" s="17">
        <v>15.2</v>
      </c>
      <c r="J75" s="17"/>
      <c r="K75" s="17">
        <v>41.8</v>
      </c>
      <c r="L75" s="17">
        <v>2</v>
      </c>
      <c r="M75" s="17">
        <v>2.2999999999999998</v>
      </c>
      <c r="N75" s="17"/>
      <c r="O75" s="65"/>
      <c r="P75" s="17"/>
      <c r="Q75" s="33">
        <v>2520000</v>
      </c>
      <c r="R75" s="34">
        <v>534000</v>
      </c>
      <c r="S75" s="34">
        <v>2880000</v>
      </c>
      <c r="T75" s="62">
        <v>11.6</v>
      </c>
      <c r="U75" s="68">
        <v>33400000</v>
      </c>
      <c r="V75" s="4" t="s">
        <v>238</v>
      </c>
      <c r="W75" s="62">
        <v>12.5</v>
      </c>
      <c r="X75" s="62">
        <v>45.7</v>
      </c>
      <c r="Y75" s="62">
        <v>15.3</v>
      </c>
      <c r="Z75" s="62">
        <v>30.5</v>
      </c>
      <c r="AA75" s="62">
        <v>1.22</v>
      </c>
      <c r="AB75" s="34">
        <v>15300</v>
      </c>
      <c r="AC75" s="30"/>
      <c r="AD75" s="47"/>
      <c r="AE75" s="47">
        <v>3</v>
      </c>
      <c r="AF75" s="47"/>
    </row>
    <row r="76" spans="1:32">
      <c r="A76" s="5">
        <v>69</v>
      </c>
      <c r="B76" s="48" t="s">
        <v>558</v>
      </c>
      <c r="C76" s="49"/>
      <c r="D76" s="5">
        <v>1979</v>
      </c>
      <c r="E76" s="48" t="s">
        <v>250</v>
      </c>
      <c r="F76" s="48" t="s">
        <v>8</v>
      </c>
      <c r="G76" s="48" t="s">
        <v>559</v>
      </c>
      <c r="H76" s="51">
        <v>60.05</v>
      </c>
      <c r="I76" s="52">
        <v>6</v>
      </c>
      <c r="J76" s="52"/>
      <c r="K76" s="52"/>
      <c r="L76" s="52">
        <v>3</v>
      </c>
      <c r="M76" s="52">
        <v>2</v>
      </c>
      <c r="N76" s="52">
        <v>4180</v>
      </c>
      <c r="O76" s="67"/>
      <c r="P76" s="52"/>
      <c r="Q76" s="53">
        <v>110000000</v>
      </c>
      <c r="R76" s="54"/>
      <c r="S76" s="54"/>
      <c r="T76" s="64"/>
      <c r="U76" s="70"/>
      <c r="V76" s="5"/>
      <c r="W76" s="64">
        <v>60</v>
      </c>
      <c r="X76" s="64">
        <v>540</v>
      </c>
      <c r="Y76" s="64"/>
      <c r="Z76" s="64"/>
      <c r="AA76" s="64"/>
      <c r="AB76" s="54"/>
      <c r="AC76" s="55"/>
      <c r="AD76" s="56">
        <v>2</v>
      </c>
      <c r="AE76" s="56"/>
      <c r="AF76" s="56"/>
    </row>
    <row r="77" spans="1:32">
      <c r="A77" s="11">
        <v>70</v>
      </c>
      <c r="B77" s="46" t="s">
        <v>560</v>
      </c>
      <c r="C77" s="10">
        <v>1916</v>
      </c>
      <c r="D77" s="11">
        <v>1917</v>
      </c>
      <c r="E77" s="46" t="s">
        <v>250</v>
      </c>
      <c r="F77" s="45"/>
      <c r="G77" s="46" t="s">
        <v>403</v>
      </c>
      <c r="H77" s="20">
        <v>21.3</v>
      </c>
      <c r="I77" s="17"/>
      <c r="J77" s="17"/>
      <c r="K77" s="17"/>
      <c r="L77" s="17"/>
      <c r="M77" s="17"/>
      <c r="N77" s="17"/>
      <c r="O77" s="65">
        <v>2520</v>
      </c>
      <c r="P77" s="17" t="s">
        <v>275</v>
      </c>
      <c r="Q77" s="33">
        <v>13600000</v>
      </c>
      <c r="R77" s="34"/>
      <c r="S77" s="34"/>
      <c r="T77" s="62"/>
      <c r="U77" s="68"/>
      <c r="V77" s="11"/>
      <c r="W77" s="62">
        <v>21.3</v>
      </c>
      <c r="X77" s="62"/>
      <c r="Y77" s="62"/>
      <c r="Z77" s="62">
        <v>9.1999999999999993</v>
      </c>
      <c r="AA77" s="62"/>
      <c r="AB77" s="34"/>
      <c r="AC77" s="30"/>
      <c r="AD77" s="47">
        <v>3</v>
      </c>
      <c r="AE77" s="47"/>
      <c r="AF77" s="47"/>
    </row>
    <row r="78" spans="1:32">
      <c r="A78" s="11">
        <v>71</v>
      </c>
      <c r="B78" s="46" t="s">
        <v>561</v>
      </c>
      <c r="C78" s="10"/>
      <c r="D78" s="11">
        <v>1979</v>
      </c>
      <c r="E78" s="46" t="s">
        <v>562</v>
      </c>
      <c r="F78" s="46"/>
      <c r="G78" s="46" t="s">
        <v>563</v>
      </c>
      <c r="H78" s="20"/>
      <c r="I78" s="17"/>
      <c r="J78" s="17"/>
      <c r="K78" s="17"/>
      <c r="L78" s="17"/>
      <c r="M78" s="17"/>
      <c r="N78" s="17"/>
      <c r="O78" s="65">
        <v>3115</v>
      </c>
      <c r="P78" s="17" t="s">
        <v>275</v>
      </c>
      <c r="Q78" s="33">
        <v>136000000</v>
      </c>
      <c r="R78" s="34"/>
      <c r="S78" s="34">
        <v>136000000</v>
      </c>
      <c r="T78" s="62">
        <v>8.5299999999999994</v>
      </c>
      <c r="U78" s="68">
        <v>1160000000</v>
      </c>
      <c r="V78" s="11"/>
      <c r="W78" s="62"/>
      <c r="X78" s="62"/>
      <c r="Y78" s="62"/>
      <c r="Z78" s="62">
        <v>186</v>
      </c>
      <c r="AA78" s="62"/>
      <c r="AB78" s="34"/>
      <c r="AC78" s="30"/>
      <c r="AD78" s="47"/>
      <c r="AE78" s="47"/>
      <c r="AF78" s="47"/>
    </row>
    <row r="79" spans="1:32">
      <c r="A79" s="11">
        <v>72</v>
      </c>
      <c r="B79" s="46" t="s">
        <v>340</v>
      </c>
      <c r="C79" s="10">
        <v>1907</v>
      </c>
      <c r="D79" s="11">
        <v>1909</v>
      </c>
      <c r="E79" s="46" t="s">
        <v>15</v>
      </c>
      <c r="F79" s="46" t="s">
        <v>290</v>
      </c>
      <c r="G79" s="46" t="s">
        <v>255</v>
      </c>
      <c r="H79" s="20">
        <v>10.97</v>
      </c>
      <c r="I79" s="17">
        <v>3</v>
      </c>
      <c r="J79" s="17"/>
      <c r="K79" s="17">
        <v>25.1</v>
      </c>
      <c r="L79" s="17">
        <v>3</v>
      </c>
      <c r="M79" s="17">
        <v>1.5</v>
      </c>
      <c r="N79" s="17"/>
      <c r="O79" s="65"/>
      <c r="P79" s="17"/>
      <c r="Q79" s="33"/>
      <c r="R79" s="34"/>
      <c r="S79" s="34">
        <v>24700000</v>
      </c>
      <c r="T79" s="62">
        <v>7.92</v>
      </c>
      <c r="U79" s="68">
        <v>196000000</v>
      </c>
      <c r="V79" s="4" t="s">
        <v>238</v>
      </c>
      <c r="W79" s="62">
        <v>9.75</v>
      </c>
      <c r="X79" s="62">
        <v>40</v>
      </c>
      <c r="Y79" s="62">
        <v>25.6</v>
      </c>
      <c r="Z79" s="62">
        <v>32.799999999999997</v>
      </c>
      <c r="AA79" s="62">
        <v>0.7</v>
      </c>
      <c r="AB79" s="34">
        <v>106000</v>
      </c>
      <c r="AC79" s="30"/>
      <c r="AD79" s="47"/>
      <c r="AE79" s="47"/>
      <c r="AF79" s="47"/>
    </row>
    <row r="80" spans="1:32">
      <c r="A80" s="11">
        <v>73</v>
      </c>
      <c r="B80" s="46" t="s">
        <v>341</v>
      </c>
      <c r="C80" s="10">
        <v>1939</v>
      </c>
      <c r="D80" s="11">
        <v>1994</v>
      </c>
      <c r="E80" s="46" t="s">
        <v>9</v>
      </c>
      <c r="F80" s="45" t="s">
        <v>241</v>
      </c>
      <c r="G80" s="46" t="s">
        <v>23</v>
      </c>
      <c r="H80" s="20"/>
      <c r="I80" s="17"/>
      <c r="J80" s="17"/>
      <c r="K80" s="17">
        <v>17.5</v>
      </c>
      <c r="L80" s="17"/>
      <c r="M80" s="17"/>
      <c r="N80" s="17"/>
      <c r="O80" s="65"/>
      <c r="P80" s="17"/>
      <c r="Q80" s="33"/>
      <c r="R80" s="34"/>
      <c r="S80" s="34">
        <v>69600</v>
      </c>
      <c r="T80" s="62">
        <v>3.44</v>
      </c>
      <c r="U80" s="68">
        <v>239000</v>
      </c>
      <c r="V80" s="11"/>
      <c r="W80" s="62">
        <v>3.05</v>
      </c>
      <c r="X80" s="62"/>
      <c r="Y80" s="62"/>
      <c r="Z80" s="62">
        <v>14.2</v>
      </c>
      <c r="AA80" s="62">
        <v>0.41</v>
      </c>
      <c r="AB80" s="34">
        <v>758</v>
      </c>
      <c r="AC80" s="30"/>
      <c r="AD80" s="47"/>
      <c r="AE80" s="47"/>
      <c r="AF80" s="47"/>
    </row>
    <row r="81" spans="1:32">
      <c r="A81" s="11">
        <v>74</v>
      </c>
      <c r="B81" s="46" t="s">
        <v>564</v>
      </c>
      <c r="C81" s="10"/>
      <c r="D81" s="11">
        <v>1874</v>
      </c>
      <c r="E81" s="45"/>
      <c r="F81" s="46" t="s">
        <v>565</v>
      </c>
      <c r="G81" s="46" t="s">
        <v>401</v>
      </c>
      <c r="H81" s="20">
        <v>13.1</v>
      </c>
      <c r="I81" s="17"/>
      <c r="J81" s="17"/>
      <c r="K81" s="17"/>
      <c r="L81" s="17"/>
      <c r="M81" s="17"/>
      <c r="N81" s="17"/>
      <c r="O81" s="65">
        <v>1645</v>
      </c>
      <c r="P81" s="74" t="s">
        <v>275</v>
      </c>
      <c r="Q81" s="33">
        <v>2500000</v>
      </c>
      <c r="R81" s="34"/>
      <c r="S81" s="34">
        <v>2500000</v>
      </c>
      <c r="T81" s="62"/>
      <c r="U81" s="68"/>
      <c r="V81" s="11"/>
      <c r="W81" s="62"/>
      <c r="X81" s="62"/>
      <c r="Y81" s="62"/>
      <c r="Z81" s="62"/>
      <c r="AA81" s="62"/>
      <c r="AB81" s="34"/>
      <c r="AC81" s="30"/>
      <c r="AD81" s="47"/>
      <c r="AE81" s="47"/>
      <c r="AF81" s="47"/>
    </row>
    <row r="82" spans="1:32">
      <c r="A82" s="35">
        <v>75</v>
      </c>
      <c r="B82" s="36" t="s">
        <v>342</v>
      </c>
      <c r="C82" s="37">
        <v>1963</v>
      </c>
      <c r="D82" s="35">
        <v>1994</v>
      </c>
      <c r="E82" s="36" t="s">
        <v>9</v>
      </c>
      <c r="F82" s="38" t="s">
        <v>241</v>
      </c>
      <c r="G82" s="36" t="s">
        <v>23</v>
      </c>
      <c r="H82" s="39"/>
      <c r="I82" s="40"/>
      <c r="J82" s="40"/>
      <c r="K82" s="40">
        <v>14.3</v>
      </c>
      <c r="L82" s="40"/>
      <c r="M82" s="40"/>
      <c r="N82" s="40"/>
      <c r="O82" s="66"/>
      <c r="P82" s="40"/>
      <c r="Q82" s="41"/>
      <c r="R82" s="42"/>
      <c r="S82" s="42">
        <v>4130000</v>
      </c>
      <c r="T82" s="63">
        <v>4.41</v>
      </c>
      <c r="U82" s="69">
        <v>18200000</v>
      </c>
      <c r="V82" s="35"/>
      <c r="W82" s="63">
        <v>3.44</v>
      </c>
      <c r="X82" s="63"/>
      <c r="Y82" s="63"/>
      <c r="Z82" s="63">
        <v>41.5</v>
      </c>
      <c r="AA82" s="63">
        <v>1.24</v>
      </c>
      <c r="AB82" s="42">
        <v>2040</v>
      </c>
      <c r="AC82" s="43"/>
      <c r="AD82" s="44"/>
      <c r="AE82" s="44"/>
      <c r="AF82" s="44"/>
    </row>
    <row r="83" spans="1:32">
      <c r="A83" s="11">
        <v>76</v>
      </c>
      <c r="B83" s="46" t="s">
        <v>566</v>
      </c>
      <c r="C83" s="10">
        <v>1962</v>
      </c>
      <c r="D83" s="11">
        <v>1967</v>
      </c>
      <c r="E83" s="45"/>
      <c r="F83" s="45"/>
      <c r="G83" s="46" t="s">
        <v>567</v>
      </c>
      <c r="H83" s="20">
        <v>15.85</v>
      </c>
      <c r="I83" s="17"/>
      <c r="J83" s="17"/>
      <c r="K83" s="17"/>
      <c r="L83" s="17"/>
      <c r="M83" s="17"/>
      <c r="N83" s="17"/>
      <c r="O83" s="65">
        <v>9700</v>
      </c>
      <c r="P83" s="17" t="s">
        <v>275</v>
      </c>
      <c r="Q83" s="33">
        <v>210000000</v>
      </c>
      <c r="R83" s="34"/>
      <c r="S83" s="34"/>
      <c r="T83" s="62"/>
      <c r="U83" s="68"/>
      <c r="V83" s="11"/>
      <c r="W83" s="62">
        <v>16</v>
      </c>
      <c r="X83" s="62"/>
      <c r="Y83" s="62"/>
      <c r="Z83" s="62">
        <v>46</v>
      </c>
      <c r="AA83" s="62"/>
      <c r="AB83" s="34"/>
      <c r="AC83" s="30"/>
      <c r="AD83" s="47">
        <v>12</v>
      </c>
      <c r="AE83" s="47"/>
      <c r="AF83" s="47"/>
    </row>
    <row r="84" spans="1:32">
      <c r="A84" s="11">
        <v>77</v>
      </c>
      <c r="B84" s="46" t="s">
        <v>568</v>
      </c>
      <c r="C84" s="10"/>
      <c r="D84" s="11">
        <v>1996</v>
      </c>
      <c r="E84" s="46" t="s">
        <v>9</v>
      </c>
      <c r="F84" s="45" t="s">
        <v>241</v>
      </c>
      <c r="G84" s="46" t="s">
        <v>413</v>
      </c>
      <c r="H84" s="20">
        <v>5.49</v>
      </c>
      <c r="I84" s="17"/>
      <c r="J84" s="17"/>
      <c r="K84" s="17"/>
      <c r="L84" s="17">
        <v>3</v>
      </c>
      <c r="M84" s="17">
        <v>2</v>
      </c>
      <c r="N84" s="17">
        <v>130</v>
      </c>
      <c r="O84" s="65"/>
      <c r="P84" s="17"/>
      <c r="Q84" s="33"/>
      <c r="R84" s="34"/>
      <c r="S84" s="34"/>
      <c r="T84" s="62"/>
      <c r="U84" s="68"/>
      <c r="V84" s="4" t="s">
        <v>238</v>
      </c>
      <c r="W84" s="62">
        <v>5.03</v>
      </c>
      <c r="X84" s="62">
        <v>6.71</v>
      </c>
      <c r="Y84" s="62">
        <v>6.71</v>
      </c>
      <c r="Z84" s="62">
        <v>6.71</v>
      </c>
      <c r="AA84" s="62">
        <v>0</v>
      </c>
      <c r="AB84" s="34"/>
      <c r="AC84" s="30"/>
      <c r="AD84" s="47"/>
      <c r="AE84" s="47"/>
      <c r="AF84" s="47"/>
    </row>
    <row r="85" spans="1:32">
      <c r="A85" s="11">
        <v>78</v>
      </c>
      <c r="B85" s="46" t="s">
        <v>569</v>
      </c>
      <c r="C85" s="10"/>
      <c r="D85" s="11">
        <v>1977</v>
      </c>
      <c r="E85" s="45"/>
      <c r="F85" s="46" t="s">
        <v>8</v>
      </c>
      <c r="G85" s="46" t="s">
        <v>282</v>
      </c>
      <c r="H85" s="20">
        <v>5.5</v>
      </c>
      <c r="I85" s="17"/>
      <c r="J85" s="17"/>
      <c r="K85" s="17"/>
      <c r="L85" s="17"/>
      <c r="M85" s="17"/>
      <c r="N85" s="17"/>
      <c r="O85" s="65">
        <v>29.4</v>
      </c>
      <c r="P85" s="18" t="s">
        <v>252</v>
      </c>
      <c r="Q85" s="33"/>
      <c r="R85" s="34"/>
      <c r="S85" s="34">
        <v>22200</v>
      </c>
      <c r="T85" s="62">
        <v>5.49</v>
      </c>
      <c r="U85" s="68">
        <v>122000</v>
      </c>
      <c r="V85" s="11"/>
      <c r="W85" s="62"/>
      <c r="X85" s="62"/>
      <c r="Y85" s="62"/>
      <c r="Z85" s="62"/>
      <c r="AA85" s="62"/>
      <c r="AB85" s="34"/>
      <c r="AC85" s="30"/>
      <c r="AD85" s="47"/>
      <c r="AE85" s="47"/>
      <c r="AF85" s="47"/>
    </row>
    <row r="86" spans="1:32">
      <c r="A86" s="5">
        <v>79</v>
      </c>
      <c r="B86" s="48" t="s">
        <v>570</v>
      </c>
      <c r="C86" s="49"/>
      <c r="D86" s="5">
        <v>1903</v>
      </c>
      <c r="E86" s="48" t="s">
        <v>9</v>
      </c>
      <c r="F86" s="48" t="s">
        <v>266</v>
      </c>
      <c r="G86" s="48" t="s">
        <v>494</v>
      </c>
      <c r="H86" s="51">
        <v>6.1</v>
      </c>
      <c r="I86" s="52">
        <v>2.6</v>
      </c>
      <c r="J86" s="52"/>
      <c r="K86" s="52"/>
      <c r="L86" s="52"/>
      <c r="M86" s="52"/>
      <c r="N86" s="52">
        <v>107</v>
      </c>
      <c r="O86" s="67"/>
      <c r="P86" s="52"/>
      <c r="Q86" s="53"/>
      <c r="R86" s="54"/>
      <c r="S86" s="54"/>
      <c r="T86" s="64"/>
      <c r="U86" s="70"/>
      <c r="V86" s="5"/>
      <c r="W86" s="64">
        <v>4.5999999999999996</v>
      </c>
      <c r="X86" s="64">
        <v>23</v>
      </c>
      <c r="Y86" s="64"/>
      <c r="Z86" s="64"/>
      <c r="AA86" s="64"/>
      <c r="AB86" s="54"/>
      <c r="AC86" s="55"/>
      <c r="AD86" s="56">
        <v>1</v>
      </c>
      <c r="AE86" s="56"/>
      <c r="AF86" s="56"/>
    </row>
    <row r="87" spans="1:32">
      <c r="A87" s="11">
        <v>80</v>
      </c>
      <c r="B87" s="46" t="s">
        <v>343</v>
      </c>
      <c r="C87" s="10">
        <v>1960</v>
      </c>
      <c r="D87" s="11">
        <v>1960</v>
      </c>
      <c r="E87" s="46" t="s">
        <v>9</v>
      </c>
      <c r="F87" s="46" t="s">
        <v>344</v>
      </c>
      <c r="G87" s="46" t="s">
        <v>345</v>
      </c>
      <c r="H87" s="20">
        <v>35.36</v>
      </c>
      <c r="I87" s="17">
        <v>5</v>
      </c>
      <c r="J87" s="17"/>
      <c r="K87" s="17">
        <v>110</v>
      </c>
      <c r="L87" s="17"/>
      <c r="M87" s="17"/>
      <c r="N87" s="17"/>
      <c r="O87" s="65">
        <v>9630</v>
      </c>
      <c r="P87" s="17" t="s">
        <v>275</v>
      </c>
      <c r="Q87" s="33">
        <v>65000000</v>
      </c>
      <c r="R87" s="34"/>
      <c r="S87" s="34">
        <v>660000000</v>
      </c>
      <c r="T87" s="62">
        <v>35.799999999999997</v>
      </c>
      <c r="U87" s="68">
        <v>23600000000</v>
      </c>
      <c r="V87" s="4" t="s">
        <v>238</v>
      </c>
      <c r="W87" s="62">
        <v>35.5</v>
      </c>
      <c r="X87" s="62">
        <v>200</v>
      </c>
      <c r="Y87" s="62">
        <v>130</v>
      </c>
      <c r="Z87" s="62">
        <v>165</v>
      </c>
      <c r="AA87" s="62">
        <v>1</v>
      </c>
      <c r="AB87" s="34">
        <v>765000</v>
      </c>
      <c r="AC87" s="30">
        <v>8.5</v>
      </c>
      <c r="AD87" s="47"/>
      <c r="AE87" s="47"/>
      <c r="AF87" s="47"/>
    </row>
    <row r="88" spans="1:32">
      <c r="A88" s="11">
        <v>81</v>
      </c>
      <c r="B88" s="46" t="s">
        <v>571</v>
      </c>
      <c r="C88" s="10"/>
      <c r="D88" s="11"/>
      <c r="E88" s="46" t="s">
        <v>15</v>
      </c>
      <c r="F88" s="46" t="s">
        <v>8</v>
      </c>
      <c r="G88" s="46" t="s">
        <v>248</v>
      </c>
      <c r="H88" s="20"/>
      <c r="I88" s="17"/>
      <c r="J88" s="17"/>
      <c r="K88" s="17">
        <v>20.6</v>
      </c>
      <c r="L88" s="17"/>
      <c r="M88" s="17"/>
      <c r="N88" s="17"/>
      <c r="O88" s="65"/>
      <c r="P88" s="17"/>
      <c r="Q88" s="33"/>
      <c r="R88" s="34"/>
      <c r="S88" s="34">
        <v>109000</v>
      </c>
      <c r="T88" s="62">
        <v>5</v>
      </c>
      <c r="U88" s="68">
        <v>545000</v>
      </c>
      <c r="V88" s="11"/>
      <c r="W88" s="62">
        <v>6.1</v>
      </c>
      <c r="X88" s="62"/>
      <c r="Y88" s="62"/>
      <c r="Z88" s="62">
        <v>9.3000000000000007</v>
      </c>
      <c r="AA88" s="62">
        <v>1.28</v>
      </c>
      <c r="AB88" s="34">
        <v>1170</v>
      </c>
      <c r="AC88" s="30"/>
      <c r="AD88" s="47"/>
      <c r="AE88" s="47"/>
      <c r="AF88" s="47"/>
    </row>
    <row r="89" spans="1:32">
      <c r="A89" s="11">
        <v>82</v>
      </c>
      <c r="B89" s="46" t="s">
        <v>572</v>
      </c>
      <c r="C89" s="10"/>
      <c r="D89" s="11">
        <v>1977</v>
      </c>
      <c r="E89" s="45"/>
      <c r="F89" s="46" t="s">
        <v>8</v>
      </c>
      <c r="G89" s="46" t="s">
        <v>282</v>
      </c>
      <c r="H89" s="20">
        <v>5.8</v>
      </c>
      <c r="I89" s="17"/>
      <c r="J89" s="17"/>
      <c r="K89" s="17"/>
      <c r="L89" s="17"/>
      <c r="M89" s="17"/>
      <c r="N89" s="17"/>
      <c r="O89" s="65">
        <v>60</v>
      </c>
      <c r="P89" s="18" t="s">
        <v>252</v>
      </c>
      <c r="Q89" s="33"/>
      <c r="R89" s="34"/>
      <c r="S89" s="34">
        <v>7400</v>
      </c>
      <c r="T89" s="62">
        <v>5.79</v>
      </c>
      <c r="U89" s="68">
        <v>42900</v>
      </c>
      <c r="V89" s="11"/>
      <c r="W89" s="62"/>
      <c r="X89" s="62"/>
      <c r="Y89" s="62"/>
      <c r="Z89" s="62"/>
      <c r="AA89" s="62"/>
      <c r="AB89" s="34"/>
      <c r="AC89" s="30"/>
      <c r="AD89" s="47"/>
      <c r="AE89" s="47"/>
      <c r="AF89" s="47"/>
    </row>
    <row r="90" spans="1:32">
      <c r="A90" s="11">
        <v>83</v>
      </c>
      <c r="B90" s="46" t="s">
        <v>573</v>
      </c>
      <c r="C90" s="10"/>
      <c r="D90" s="11">
        <v>1986</v>
      </c>
      <c r="E90" s="46" t="s">
        <v>15</v>
      </c>
      <c r="F90" s="45" t="s">
        <v>241</v>
      </c>
      <c r="G90" s="46" t="s">
        <v>246</v>
      </c>
      <c r="H90" s="20"/>
      <c r="I90" s="17">
        <v>3.1</v>
      </c>
      <c r="J90" s="17"/>
      <c r="K90" s="17"/>
      <c r="L90" s="17"/>
      <c r="M90" s="17"/>
      <c r="N90" s="17"/>
      <c r="O90" s="65"/>
      <c r="P90" s="17"/>
      <c r="Q90" s="33"/>
      <c r="R90" s="34"/>
      <c r="S90" s="34">
        <v>4070000</v>
      </c>
      <c r="T90" s="62">
        <v>8.08</v>
      </c>
      <c r="U90" s="68">
        <v>32900000</v>
      </c>
      <c r="V90" s="11"/>
      <c r="W90" s="62">
        <v>8.69</v>
      </c>
      <c r="X90" s="62"/>
      <c r="Y90" s="62"/>
      <c r="Z90" s="62">
        <v>30.5</v>
      </c>
      <c r="AA90" s="62">
        <v>0.77</v>
      </c>
      <c r="AB90" s="34"/>
      <c r="AC90" s="30">
        <v>1</v>
      </c>
      <c r="AD90" s="47"/>
      <c r="AE90" s="47"/>
      <c r="AF90" s="47"/>
    </row>
    <row r="91" spans="1:32">
      <c r="A91" s="11">
        <v>84</v>
      </c>
      <c r="B91" s="46" t="s">
        <v>574</v>
      </c>
      <c r="C91" s="10">
        <v>1947</v>
      </c>
      <c r="D91" s="11">
        <v>1977</v>
      </c>
      <c r="E91" s="46" t="s">
        <v>9</v>
      </c>
      <c r="F91" s="45" t="s">
        <v>241</v>
      </c>
      <c r="G91" s="46" t="s">
        <v>246</v>
      </c>
      <c r="H91" s="20"/>
      <c r="I91" s="17">
        <v>7.3</v>
      </c>
      <c r="J91" s="17"/>
      <c r="K91" s="17">
        <v>23.5</v>
      </c>
      <c r="L91" s="17"/>
      <c r="M91" s="17"/>
      <c r="N91" s="17"/>
      <c r="O91" s="65"/>
      <c r="P91" s="17"/>
      <c r="Q91" s="33"/>
      <c r="R91" s="34"/>
      <c r="S91" s="34">
        <v>105000</v>
      </c>
      <c r="T91" s="62">
        <v>7.77</v>
      </c>
      <c r="U91" s="68">
        <v>816000</v>
      </c>
      <c r="V91" s="11"/>
      <c r="W91" s="62">
        <v>7.77</v>
      </c>
      <c r="X91" s="62"/>
      <c r="Y91" s="62"/>
      <c r="Z91" s="62">
        <v>16.5</v>
      </c>
      <c r="AA91" s="62">
        <v>1.25</v>
      </c>
      <c r="AB91" s="34">
        <v>3010</v>
      </c>
      <c r="AC91" s="30"/>
      <c r="AD91" s="47"/>
      <c r="AE91" s="47"/>
      <c r="AF91" s="47"/>
    </row>
    <row r="92" spans="1:32">
      <c r="A92" s="35">
        <v>85</v>
      </c>
      <c r="B92" s="36" t="s">
        <v>575</v>
      </c>
      <c r="C92" s="37">
        <v>1914</v>
      </c>
      <c r="D92" s="35">
        <v>1980</v>
      </c>
      <c r="E92" s="36" t="s">
        <v>15</v>
      </c>
      <c r="F92" s="38" t="s">
        <v>241</v>
      </c>
      <c r="G92" s="36" t="s">
        <v>302</v>
      </c>
      <c r="H92" s="39"/>
      <c r="I92" s="40">
        <v>4.3</v>
      </c>
      <c r="J92" s="40"/>
      <c r="K92" s="40">
        <v>13.1</v>
      </c>
      <c r="L92" s="40"/>
      <c r="M92" s="40"/>
      <c r="N92" s="40"/>
      <c r="O92" s="66">
        <v>116</v>
      </c>
      <c r="P92" s="76" t="s">
        <v>350</v>
      </c>
      <c r="Q92" s="41"/>
      <c r="R92" s="42"/>
      <c r="S92" s="42">
        <v>3540000</v>
      </c>
      <c r="T92" s="63">
        <v>1.68</v>
      </c>
      <c r="U92" s="69">
        <v>5950000</v>
      </c>
      <c r="V92" s="35"/>
      <c r="W92" s="63">
        <v>4.42</v>
      </c>
      <c r="X92" s="63"/>
      <c r="Y92" s="63"/>
      <c r="Z92" s="63">
        <v>88.4</v>
      </c>
      <c r="AA92" s="63">
        <v>0.69</v>
      </c>
      <c r="AB92" s="42">
        <v>5120</v>
      </c>
      <c r="AC92" s="43">
        <v>2.5</v>
      </c>
      <c r="AD92" s="44"/>
      <c r="AE92" s="44"/>
      <c r="AF92" s="44"/>
    </row>
    <row r="93" spans="1:32">
      <c r="A93" s="11">
        <v>86</v>
      </c>
      <c r="B93" s="46" t="s">
        <v>576</v>
      </c>
      <c r="C93" s="10">
        <v>1926</v>
      </c>
      <c r="D93" s="11">
        <v>1926</v>
      </c>
      <c r="E93" s="46" t="s">
        <v>9</v>
      </c>
      <c r="F93" s="45" t="s">
        <v>241</v>
      </c>
      <c r="G93" s="46" t="s">
        <v>302</v>
      </c>
      <c r="H93" s="20"/>
      <c r="I93" s="17"/>
      <c r="J93" s="17"/>
      <c r="K93" s="17"/>
      <c r="L93" s="17"/>
      <c r="M93" s="17"/>
      <c r="N93" s="17"/>
      <c r="O93" s="65">
        <v>480</v>
      </c>
      <c r="P93" s="18" t="s">
        <v>237</v>
      </c>
      <c r="Q93" s="33"/>
      <c r="R93" s="34"/>
      <c r="S93" s="34">
        <v>617000</v>
      </c>
      <c r="T93" s="62">
        <v>15.2</v>
      </c>
      <c r="U93" s="68">
        <v>9380000</v>
      </c>
      <c r="V93" s="11"/>
      <c r="W93" s="62">
        <v>15.2</v>
      </c>
      <c r="X93" s="62"/>
      <c r="Y93" s="62"/>
      <c r="Z93" s="62"/>
      <c r="AA93" s="62"/>
      <c r="AB93" s="34"/>
      <c r="AC93" s="30">
        <v>0.25</v>
      </c>
      <c r="AD93" s="47"/>
      <c r="AE93" s="47"/>
      <c r="AF93" s="47"/>
    </row>
    <row r="94" spans="1:32">
      <c r="A94" s="11">
        <v>87</v>
      </c>
      <c r="B94" s="46" t="s">
        <v>351</v>
      </c>
      <c r="C94" s="10">
        <v>1986</v>
      </c>
      <c r="D94" s="11">
        <v>1989</v>
      </c>
      <c r="E94" s="46" t="s">
        <v>15</v>
      </c>
      <c r="F94" s="45" t="s">
        <v>241</v>
      </c>
      <c r="G94" s="46" t="s">
        <v>258</v>
      </c>
      <c r="H94" s="20"/>
      <c r="I94" s="17"/>
      <c r="J94" s="17"/>
      <c r="K94" s="17">
        <v>56.6</v>
      </c>
      <c r="L94" s="17"/>
      <c r="M94" s="17"/>
      <c r="N94" s="17"/>
      <c r="O94" s="65">
        <v>3110</v>
      </c>
      <c r="P94" s="18" t="s">
        <v>237</v>
      </c>
      <c r="Q94" s="33"/>
      <c r="R94" s="34"/>
      <c r="S94" s="34">
        <v>30800000</v>
      </c>
      <c r="T94" s="62">
        <v>16.7</v>
      </c>
      <c r="U94" s="68">
        <v>514000000</v>
      </c>
      <c r="V94" s="11"/>
      <c r="W94" s="62">
        <v>21.3</v>
      </c>
      <c r="X94" s="62"/>
      <c r="Y94" s="62"/>
      <c r="Z94" s="62">
        <v>70</v>
      </c>
      <c r="AA94" s="62">
        <v>0.1</v>
      </c>
      <c r="AB94" s="34">
        <v>84400</v>
      </c>
      <c r="AC94" s="30">
        <v>1</v>
      </c>
      <c r="AD94" s="47"/>
      <c r="AE94" s="47"/>
      <c r="AF94" s="47"/>
    </row>
    <row r="95" spans="1:32">
      <c r="A95" s="11">
        <v>88</v>
      </c>
      <c r="B95" s="46" t="s">
        <v>577</v>
      </c>
      <c r="C95" s="10"/>
      <c r="D95" s="11">
        <v>1986</v>
      </c>
      <c r="E95" s="46" t="s">
        <v>9</v>
      </c>
      <c r="F95" s="45" t="s">
        <v>241</v>
      </c>
      <c r="G95" s="46" t="s">
        <v>246</v>
      </c>
      <c r="H95" s="20"/>
      <c r="I95" s="17">
        <v>11.3</v>
      </c>
      <c r="J95" s="17"/>
      <c r="K95" s="17">
        <v>28.2</v>
      </c>
      <c r="L95" s="17"/>
      <c r="M95" s="17"/>
      <c r="N95" s="17"/>
      <c r="O95" s="65"/>
      <c r="P95" s="17"/>
      <c r="Q95" s="33"/>
      <c r="R95" s="34"/>
      <c r="S95" s="34">
        <v>6780000</v>
      </c>
      <c r="T95" s="62">
        <v>10</v>
      </c>
      <c r="U95" s="68">
        <v>67800000</v>
      </c>
      <c r="V95" s="11"/>
      <c r="W95" s="62">
        <v>9.5399999999999991</v>
      </c>
      <c r="X95" s="62"/>
      <c r="Y95" s="62"/>
      <c r="Z95" s="62">
        <v>38.9</v>
      </c>
      <c r="AA95" s="62">
        <v>2.52</v>
      </c>
      <c r="AB95" s="34">
        <v>10500</v>
      </c>
      <c r="AC95" s="30"/>
      <c r="AD95" s="47"/>
      <c r="AE95" s="47"/>
      <c r="AF95" s="47"/>
    </row>
    <row r="96" spans="1:32">
      <c r="A96" s="5">
        <v>89</v>
      </c>
      <c r="B96" s="48" t="s">
        <v>578</v>
      </c>
      <c r="C96" s="49"/>
      <c r="D96" s="5"/>
      <c r="E96" s="48" t="s">
        <v>9</v>
      </c>
      <c r="F96" s="50"/>
      <c r="G96" s="48" t="s">
        <v>248</v>
      </c>
      <c r="H96" s="51"/>
      <c r="I96" s="52"/>
      <c r="J96" s="52"/>
      <c r="K96" s="52">
        <v>11</v>
      </c>
      <c r="L96" s="52"/>
      <c r="M96" s="52"/>
      <c r="N96" s="52"/>
      <c r="O96" s="67"/>
      <c r="P96" s="52"/>
      <c r="Q96" s="53"/>
      <c r="R96" s="54"/>
      <c r="S96" s="54">
        <v>13900</v>
      </c>
      <c r="T96" s="64">
        <v>3.66</v>
      </c>
      <c r="U96" s="70">
        <v>509000</v>
      </c>
      <c r="V96" s="5"/>
      <c r="W96" s="64">
        <v>3.66</v>
      </c>
      <c r="X96" s="64"/>
      <c r="Y96" s="64"/>
      <c r="Z96" s="64">
        <v>2.29</v>
      </c>
      <c r="AA96" s="64">
        <v>0.63</v>
      </c>
      <c r="AB96" s="54">
        <v>92</v>
      </c>
      <c r="AC96" s="55"/>
      <c r="AD96" s="56"/>
      <c r="AE96" s="56"/>
      <c r="AF96" s="56"/>
    </row>
    <row r="97" spans="1:32">
      <c r="A97" s="11">
        <v>90</v>
      </c>
      <c r="B97" s="46" t="s">
        <v>579</v>
      </c>
      <c r="C97" s="10"/>
      <c r="D97" s="11">
        <v>1975</v>
      </c>
      <c r="E97" s="46" t="s">
        <v>15</v>
      </c>
      <c r="F97" s="45" t="s">
        <v>241</v>
      </c>
      <c r="G97" s="46" t="s">
        <v>255</v>
      </c>
      <c r="H97" s="20">
        <v>7.32</v>
      </c>
      <c r="I97" s="17">
        <v>3.7</v>
      </c>
      <c r="J97" s="17"/>
      <c r="K97" s="17">
        <v>13.3</v>
      </c>
      <c r="L97" s="17">
        <v>1.34</v>
      </c>
      <c r="M97" s="17">
        <v>1.34</v>
      </c>
      <c r="N97" s="17"/>
      <c r="O97" s="65"/>
      <c r="P97" s="17"/>
      <c r="Q97" s="33">
        <v>24700</v>
      </c>
      <c r="R97" s="34"/>
      <c r="S97" s="34">
        <v>24700</v>
      </c>
      <c r="T97" s="62">
        <v>4.57</v>
      </c>
      <c r="U97" s="68">
        <v>113000</v>
      </c>
      <c r="V97" s="4" t="s">
        <v>238</v>
      </c>
      <c r="W97" s="62">
        <v>7.32</v>
      </c>
      <c r="X97" s="62">
        <v>19</v>
      </c>
      <c r="Y97" s="62">
        <v>7.6</v>
      </c>
      <c r="Z97" s="62">
        <v>13.3</v>
      </c>
      <c r="AA97" s="62">
        <v>0.77</v>
      </c>
      <c r="AB97" s="34">
        <v>1290</v>
      </c>
      <c r="AC97" s="30"/>
      <c r="AD97" s="47"/>
      <c r="AE97" s="47"/>
      <c r="AF97" s="47"/>
    </row>
    <row r="98" spans="1:32">
      <c r="A98" s="11">
        <v>91</v>
      </c>
      <c r="B98" s="46" t="s">
        <v>355</v>
      </c>
      <c r="C98" s="10">
        <v>1966</v>
      </c>
      <c r="D98" s="11">
        <v>1977</v>
      </c>
      <c r="E98" s="46" t="s">
        <v>9</v>
      </c>
      <c r="F98" s="46" t="s">
        <v>8</v>
      </c>
      <c r="G98" s="46" t="s">
        <v>276</v>
      </c>
      <c r="H98" s="20">
        <v>35.049999999999997</v>
      </c>
      <c r="I98" s="17"/>
      <c r="J98" s="17"/>
      <c r="K98" s="17"/>
      <c r="L98" s="17"/>
      <c r="M98" s="17"/>
      <c r="N98" s="17"/>
      <c r="O98" s="65">
        <v>7200</v>
      </c>
      <c r="P98" s="18" t="s">
        <v>275</v>
      </c>
      <c r="Q98" s="33">
        <v>25900000</v>
      </c>
      <c r="R98" s="34"/>
      <c r="S98" s="34">
        <v>71500000</v>
      </c>
      <c r="T98" s="62">
        <v>38.4</v>
      </c>
      <c r="U98" s="68">
        <v>2750000000</v>
      </c>
      <c r="V98" s="4" t="s">
        <v>238</v>
      </c>
      <c r="W98" s="62">
        <v>35</v>
      </c>
      <c r="X98" s="62"/>
      <c r="Y98" s="62"/>
      <c r="Z98" s="62">
        <v>168</v>
      </c>
      <c r="AA98" s="62"/>
      <c r="AB98" s="34">
        <v>440000</v>
      </c>
      <c r="AC98" s="30"/>
      <c r="AD98" s="47">
        <v>2</v>
      </c>
      <c r="AE98" s="47">
        <v>2</v>
      </c>
      <c r="AF98" s="47"/>
    </row>
    <row r="99" spans="1:32">
      <c r="A99" s="11">
        <v>92</v>
      </c>
      <c r="B99" s="46" t="s">
        <v>580</v>
      </c>
      <c r="C99" s="10"/>
      <c r="D99" s="11">
        <v>1977</v>
      </c>
      <c r="E99" s="46" t="s">
        <v>9</v>
      </c>
      <c r="F99" s="46" t="s">
        <v>8</v>
      </c>
      <c r="G99" s="46" t="s">
        <v>581</v>
      </c>
      <c r="H99" s="20">
        <v>8.5299999999999994</v>
      </c>
      <c r="I99" s="17"/>
      <c r="J99" s="17"/>
      <c r="K99" s="17"/>
      <c r="L99" s="17"/>
      <c r="M99" s="17"/>
      <c r="N99" s="17"/>
      <c r="O99" s="65">
        <v>435</v>
      </c>
      <c r="P99" s="18" t="s">
        <v>275</v>
      </c>
      <c r="Q99" s="33">
        <v>56800</v>
      </c>
      <c r="R99" s="34"/>
      <c r="S99" s="34">
        <v>56700</v>
      </c>
      <c r="T99" s="62">
        <v>8.5299999999999994</v>
      </c>
      <c r="U99" s="68">
        <v>484000</v>
      </c>
      <c r="V99" s="11"/>
      <c r="W99" s="62"/>
      <c r="X99" s="62"/>
      <c r="Y99" s="62"/>
      <c r="Z99" s="62"/>
      <c r="AA99" s="62"/>
      <c r="AB99" s="34"/>
      <c r="AC99" s="30"/>
      <c r="AD99" s="47"/>
      <c r="AE99" s="47"/>
      <c r="AF99" s="47"/>
    </row>
    <row r="100" spans="1:32">
      <c r="A100" s="11">
        <v>93</v>
      </c>
      <c r="B100" s="46" t="s">
        <v>582</v>
      </c>
      <c r="C100" s="10"/>
      <c r="D100" s="11">
        <v>1921</v>
      </c>
      <c r="E100" s="46" t="s">
        <v>9</v>
      </c>
      <c r="F100" s="46" t="s">
        <v>357</v>
      </c>
      <c r="G100" s="46" t="s">
        <v>359</v>
      </c>
      <c r="H100" s="20">
        <v>30.5</v>
      </c>
      <c r="I100" s="17">
        <v>4.5999999999999996</v>
      </c>
      <c r="J100" s="17"/>
      <c r="K100" s="17">
        <v>80.8</v>
      </c>
      <c r="L100" s="17">
        <v>3</v>
      </c>
      <c r="M100" s="17">
        <v>2</v>
      </c>
      <c r="N100" s="17">
        <v>335</v>
      </c>
      <c r="O100" s="65">
        <v>4500</v>
      </c>
      <c r="P100" s="18" t="s">
        <v>583</v>
      </c>
      <c r="Q100" s="33">
        <v>3920000</v>
      </c>
      <c r="R100" s="34"/>
      <c r="S100" s="34">
        <v>440000</v>
      </c>
      <c r="T100" s="62">
        <v>30.5</v>
      </c>
      <c r="U100" s="68">
        <v>135000000</v>
      </c>
      <c r="V100" s="4" t="s">
        <v>238</v>
      </c>
      <c r="W100" s="62">
        <v>30.5</v>
      </c>
      <c r="X100" s="62">
        <v>210</v>
      </c>
      <c r="Y100" s="62">
        <v>64</v>
      </c>
      <c r="Z100" s="62">
        <v>137</v>
      </c>
      <c r="AA100" s="62">
        <v>2.25</v>
      </c>
      <c r="AB100" s="34">
        <v>227000</v>
      </c>
      <c r="AC100" s="30">
        <v>0.5</v>
      </c>
      <c r="AD100" s="47">
        <v>0.5</v>
      </c>
      <c r="AE100" s="47">
        <v>0.5</v>
      </c>
      <c r="AF100" s="47">
        <v>0.5</v>
      </c>
    </row>
    <row r="101" spans="1:32">
      <c r="A101" s="11">
        <v>94</v>
      </c>
      <c r="B101" s="46" t="s">
        <v>360</v>
      </c>
      <c r="C101" s="10"/>
      <c r="D101" s="11"/>
      <c r="E101" s="46" t="s">
        <v>15</v>
      </c>
      <c r="F101" s="45"/>
      <c r="G101" s="46" t="s">
        <v>248</v>
      </c>
      <c r="H101" s="20"/>
      <c r="I101" s="17"/>
      <c r="J101" s="17"/>
      <c r="K101" s="17">
        <v>39.299999999999997</v>
      </c>
      <c r="L101" s="17"/>
      <c r="M101" s="17"/>
      <c r="N101" s="17"/>
      <c r="O101" s="65"/>
      <c r="P101" s="17"/>
      <c r="Q101" s="33"/>
      <c r="R101" s="34"/>
      <c r="S101" s="34">
        <v>86000</v>
      </c>
      <c r="T101" s="62">
        <v>10.4</v>
      </c>
      <c r="U101" s="68">
        <v>894000</v>
      </c>
      <c r="V101" s="11"/>
      <c r="W101" s="62">
        <v>11.9</v>
      </c>
      <c r="X101" s="62">
        <v>15</v>
      </c>
      <c r="Y101" s="62">
        <v>15</v>
      </c>
      <c r="Z101" s="62">
        <v>15</v>
      </c>
      <c r="AA101" s="62">
        <v>0</v>
      </c>
      <c r="AB101" s="34">
        <v>7020</v>
      </c>
      <c r="AC101" s="30"/>
      <c r="AD101" s="47"/>
      <c r="AE101" s="47"/>
      <c r="AF101" s="47"/>
    </row>
    <row r="102" spans="1:32">
      <c r="A102" s="35">
        <v>95</v>
      </c>
      <c r="B102" s="36" t="s">
        <v>361</v>
      </c>
      <c r="C102" s="37">
        <v>1969</v>
      </c>
      <c r="D102" s="35">
        <v>1970</v>
      </c>
      <c r="E102" s="36" t="s">
        <v>250</v>
      </c>
      <c r="F102" s="36" t="s">
        <v>8</v>
      </c>
      <c r="G102" s="36" t="s">
        <v>276</v>
      </c>
      <c r="H102" s="39">
        <v>17.07</v>
      </c>
      <c r="I102" s="40">
        <v>6.1</v>
      </c>
      <c r="J102" s="40"/>
      <c r="K102" s="40"/>
      <c r="L102" s="40">
        <v>3</v>
      </c>
      <c r="M102" s="40">
        <v>2</v>
      </c>
      <c r="N102" s="40"/>
      <c r="O102" s="66"/>
      <c r="P102" s="40"/>
      <c r="Q102" s="41">
        <v>1430000</v>
      </c>
      <c r="R102" s="42">
        <v>344000</v>
      </c>
      <c r="S102" s="42">
        <v>2910000</v>
      </c>
      <c r="T102" s="63">
        <v>14.02</v>
      </c>
      <c r="U102" s="69">
        <v>40800000</v>
      </c>
      <c r="V102" s="82" t="s">
        <v>238</v>
      </c>
      <c r="W102" s="63">
        <v>17.100000000000001</v>
      </c>
      <c r="X102" s="63">
        <v>30.5</v>
      </c>
      <c r="Y102" s="63">
        <v>13.5</v>
      </c>
      <c r="Z102" s="63">
        <v>22</v>
      </c>
      <c r="AA102" s="63">
        <v>0.5</v>
      </c>
      <c r="AB102" s="42">
        <v>18300</v>
      </c>
      <c r="AC102" s="43"/>
      <c r="AD102" s="44"/>
      <c r="AE102" s="44"/>
      <c r="AF102" s="44"/>
    </row>
    <row r="103" spans="1:32">
      <c r="A103" s="11">
        <v>96</v>
      </c>
      <c r="B103" s="46" t="s">
        <v>584</v>
      </c>
      <c r="C103" s="10">
        <v>1892</v>
      </c>
      <c r="D103" s="11">
        <v>1905</v>
      </c>
      <c r="E103" s="46" t="s">
        <v>250</v>
      </c>
      <c r="F103" s="46" t="s">
        <v>266</v>
      </c>
      <c r="G103" s="46" t="s">
        <v>494</v>
      </c>
      <c r="H103" s="20">
        <v>10.36</v>
      </c>
      <c r="I103" s="17"/>
      <c r="J103" s="17"/>
      <c r="K103" s="17"/>
      <c r="L103" s="17"/>
      <c r="M103" s="17"/>
      <c r="N103" s="17">
        <v>91.4</v>
      </c>
      <c r="O103" s="65">
        <v>960</v>
      </c>
      <c r="P103" s="18" t="s">
        <v>275</v>
      </c>
      <c r="Q103" s="33">
        <v>42000</v>
      </c>
      <c r="R103" s="34"/>
      <c r="S103" s="34"/>
      <c r="T103" s="62"/>
      <c r="U103" s="68"/>
      <c r="V103" s="11"/>
      <c r="W103" s="62"/>
      <c r="X103" s="62">
        <v>46</v>
      </c>
      <c r="Y103" s="62"/>
      <c r="Z103" s="62"/>
      <c r="AA103" s="62"/>
      <c r="AB103" s="34"/>
      <c r="AC103" s="30"/>
      <c r="AD103" s="47">
        <v>2</v>
      </c>
      <c r="AE103" s="47"/>
      <c r="AF103" s="47"/>
    </row>
    <row r="104" spans="1:32">
      <c r="A104" s="11">
        <v>97</v>
      </c>
      <c r="B104" s="46" t="s">
        <v>362</v>
      </c>
      <c r="C104" s="10">
        <v>1910</v>
      </c>
      <c r="D104" s="11">
        <v>1943</v>
      </c>
      <c r="E104" s="46" t="s">
        <v>250</v>
      </c>
      <c r="F104" s="46" t="s">
        <v>8</v>
      </c>
      <c r="G104" s="46" t="s">
        <v>276</v>
      </c>
      <c r="H104" s="20">
        <v>21.34</v>
      </c>
      <c r="I104" s="17"/>
      <c r="J104" s="17"/>
      <c r="K104" s="17"/>
      <c r="L104" s="17"/>
      <c r="M104" s="17"/>
      <c r="N104" s="17"/>
      <c r="O104" s="65"/>
      <c r="P104" s="17"/>
      <c r="Q104" s="33">
        <v>3330000</v>
      </c>
      <c r="R104" s="34"/>
      <c r="S104" s="34">
        <v>3330000</v>
      </c>
      <c r="T104" s="81">
        <v>21.34</v>
      </c>
      <c r="U104" s="68">
        <v>71100000</v>
      </c>
      <c r="V104" s="4" t="s">
        <v>238</v>
      </c>
      <c r="W104" s="62">
        <v>21.3</v>
      </c>
      <c r="X104" s="62">
        <v>92</v>
      </c>
      <c r="Y104" s="62">
        <v>49.2</v>
      </c>
      <c r="Z104" s="62">
        <v>70.599999999999994</v>
      </c>
      <c r="AA104" s="62">
        <v>0.5</v>
      </c>
      <c r="AB104" s="34">
        <v>84000</v>
      </c>
      <c r="AC104" s="30"/>
      <c r="AD104" s="47">
        <v>2</v>
      </c>
      <c r="AE104" s="47">
        <v>2</v>
      </c>
      <c r="AF104" s="47"/>
    </row>
    <row r="105" spans="1:32">
      <c r="A105" s="11">
        <v>98</v>
      </c>
      <c r="B105" s="46" t="s">
        <v>585</v>
      </c>
      <c r="C105" s="10"/>
      <c r="D105" s="11">
        <v>1977</v>
      </c>
      <c r="E105" s="45"/>
      <c r="F105" s="46" t="s">
        <v>8</v>
      </c>
      <c r="G105" s="46" t="s">
        <v>282</v>
      </c>
      <c r="H105" s="20">
        <v>1.8</v>
      </c>
      <c r="I105" s="17"/>
      <c r="J105" s="17"/>
      <c r="K105" s="17"/>
      <c r="L105" s="17"/>
      <c r="M105" s="17"/>
      <c r="N105" s="17"/>
      <c r="O105" s="65">
        <v>122</v>
      </c>
      <c r="P105" s="18" t="s">
        <v>252</v>
      </c>
      <c r="Q105" s="33"/>
      <c r="R105" s="34"/>
      <c r="S105" s="34">
        <v>3700</v>
      </c>
      <c r="T105" s="62">
        <v>1.83</v>
      </c>
      <c r="U105" s="68">
        <v>6770</v>
      </c>
      <c r="V105" s="11"/>
      <c r="W105" s="62"/>
      <c r="X105" s="62"/>
      <c r="Y105" s="62"/>
      <c r="Z105" s="62"/>
      <c r="AA105" s="62"/>
      <c r="AB105" s="34"/>
      <c r="AC105" s="30"/>
      <c r="AD105" s="47"/>
      <c r="AE105" s="47"/>
      <c r="AF105" s="47"/>
    </row>
    <row r="106" spans="1:32">
      <c r="A106" s="5">
        <v>99</v>
      </c>
      <c r="B106" s="48" t="s">
        <v>586</v>
      </c>
      <c r="C106" s="49">
        <v>1887</v>
      </c>
      <c r="D106" s="5">
        <v>1889</v>
      </c>
      <c r="E106" s="48" t="s">
        <v>15</v>
      </c>
      <c r="F106" s="48" t="s">
        <v>364</v>
      </c>
      <c r="G106" s="48" t="s">
        <v>337</v>
      </c>
      <c r="H106" s="51">
        <v>5.49</v>
      </c>
      <c r="I106" s="52"/>
      <c r="J106" s="52"/>
      <c r="K106" s="52"/>
      <c r="L106" s="52">
        <v>0.75</v>
      </c>
      <c r="M106" s="52">
        <v>0.75</v>
      </c>
      <c r="N106" s="52"/>
      <c r="O106" s="67"/>
      <c r="P106" s="52"/>
      <c r="Q106" s="53">
        <v>135000</v>
      </c>
      <c r="R106" s="54">
        <v>72800</v>
      </c>
      <c r="S106" s="54">
        <v>136000</v>
      </c>
      <c r="T106" s="64">
        <v>5.49</v>
      </c>
      <c r="U106" s="70">
        <v>747000</v>
      </c>
      <c r="V106" s="83" t="s">
        <v>238</v>
      </c>
      <c r="W106" s="64">
        <v>5.49</v>
      </c>
      <c r="X106" s="64">
        <v>20</v>
      </c>
      <c r="Y106" s="64">
        <v>9</v>
      </c>
      <c r="Z106" s="64">
        <v>14.5</v>
      </c>
      <c r="AA106" s="64">
        <v>1</v>
      </c>
      <c r="AB106" s="54">
        <v>612</v>
      </c>
      <c r="AC106" s="55"/>
      <c r="AD106" s="56"/>
      <c r="AE106" s="56"/>
      <c r="AF106" s="56"/>
    </row>
    <row r="107" spans="1:32">
      <c r="A107" s="11">
        <v>100</v>
      </c>
      <c r="B107" s="46" t="s">
        <v>365</v>
      </c>
      <c r="C107" s="10">
        <v>1955</v>
      </c>
      <c r="D107" s="11">
        <v>1994</v>
      </c>
      <c r="E107" s="46" t="s">
        <v>9</v>
      </c>
      <c r="F107" s="45" t="s">
        <v>241</v>
      </c>
      <c r="G107" s="46" t="s">
        <v>23</v>
      </c>
      <c r="H107" s="20"/>
      <c r="I107" s="17"/>
      <c r="J107" s="17"/>
      <c r="K107" s="17">
        <v>12.6</v>
      </c>
      <c r="L107" s="17"/>
      <c r="M107" s="17"/>
      <c r="N107" s="17"/>
      <c r="O107" s="65"/>
      <c r="P107" s="17"/>
      <c r="Q107" s="33"/>
      <c r="R107" s="34"/>
      <c r="S107" s="34">
        <v>564000</v>
      </c>
      <c r="T107" s="81">
        <v>5.55</v>
      </c>
      <c r="U107" s="68">
        <v>3130000</v>
      </c>
      <c r="V107" s="11"/>
      <c r="W107" s="62">
        <v>5.12</v>
      </c>
      <c r="X107" s="62"/>
      <c r="Y107" s="62"/>
      <c r="Z107" s="62">
        <v>21</v>
      </c>
      <c r="AA107" s="62">
        <v>0.54</v>
      </c>
      <c r="AB107" s="34">
        <v>1350</v>
      </c>
      <c r="AC107" s="30"/>
      <c r="AD107" s="47"/>
      <c r="AE107" s="47"/>
      <c r="AF107" s="47"/>
    </row>
    <row r="108" spans="1:32">
      <c r="A108" s="11">
        <v>101</v>
      </c>
      <c r="B108" s="46" t="s">
        <v>366</v>
      </c>
      <c r="C108" s="10">
        <v>1914</v>
      </c>
      <c r="D108" s="11">
        <v>1964</v>
      </c>
      <c r="E108" s="46" t="s">
        <v>9</v>
      </c>
      <c r="F108" s="46" t="s">
        <v>367</v>
      </c>
      <c r="G108" s="46" t="s">
        <v>369</v>
      </c>
      <c r="H108" s="20">
        <v>57.61</v>
      </c>
      <c r="I108" s="17"/>
      <c r="J108" s="17"/>
      <c r="K108" s="17"/>
      <c r="L108" s="17"/>
      <c r="M108" s="17"/>
      <c r="N108" s="17">
        <v>226</v>
      </c>
      <c r="O108" s="65">
        <v>24947</v>
      </c>
      <c r="P108" s="18" t="s">
        <v>587</v>
      </c>
      <c r="Q108" s="33">
        <v>37000000</v>
      </c>
      <c r="R108" s="34"/>
      <c r="S108" s="34">
        <v>37000000</v>
      </c>
      <c r="T108" s="62">
        <v>47.85</v>
      </c>
      <c r="U108" s="68">
        <v>1770000000</v>
      </c>
      <c r="V108" s="4" t="s">
        <v>238</v>
      </c>
      <c r="W108" s="62">
        <v>57.6</v>
      </c>
      <c r="X108" s="62">
        <v>225</v>
      </c>
      <c r="Y108" s="62">
        <v>225</v>
      </c>
      <c r="Z108" s="62">
        <v>225</v>
      </c>
      <c r="AA108" s="62">
        <v>0</v>
      </c>
      <c r="AB108" s="34">
        <v>206000</v>
      </c>
      <c r="AC108" s="30"/>
      <c r="AD108" s="84" t="s">
        <v>267</v>
      </c>
      <c r="AE108" s="47">
        <v>0.25</v>
      </c>
      <c r="AF108" s="47"/>
    </row>
    <row r="109" spans="1:32">
      <c r="A109" s="11">
        <v>102</v>
      </c>
      <c r="B109" s="46" t="s">
        <v>370</v>
      </c>
      <c r="C109" s="10">
        <v>1975</v>
      </c>
      <c r="D109" s="11">
        <v>1976</v>
      </c>
      <c r="E109" s="46" t="s">
        <v>15</v>
      </c>
      <c r="F109" s="46" t="s">
        <v>290</v>
      </c>
      <c r="G109" s="46" t="s">
        <v>239</v>
      </c>
      <c r="H109" s="20">
        <v>92.96</v>
      </c>
      <c r="I109" s="17">
        <v>10.7</v>
      </c>
      <c r="J109" s="17"/>
      <c r="K109" s="17">
        <v>250</v>
      </c>
      <c r="L109" s="17">
        <v>3</v>
      </c>
      <c r="M109" s="17">
        <v>2.5</v>
      </c>
      <c r="N109" s="17"/>
      <c r="O109" s="65">
        <v>65120</v>
      </c>
      <c r="P109" s="18" t="s">
        <v>555</v>
      </c>
      <c r="Q109" s="33">
        <v>356000000</v>
      </c>
      <c r="R109" s="34"/>
      <c r="S109" s="34">
        <v>310000000</v>
      </c>
      <c r="T109" s="62">
        <v>77.400000000000006</v>
      </c>
      <c r="U109" s="68">
        <v>24000000000</v>
      </c>
      <c r="V109" s="4" t="s">
        <v>238</v>
      </c>
      <c r="W109" s="62">
        <v>86.9</v>
      </c>
      <c r="X109" s="62"/>
      <c r="Y109" s="62"/>
      <c r="Z109" s="62">
        <v>151</v>
      </c>
      <c r="AA109" s="62">
        <v>1</v>
      </c>
      <c r="AB109" s="34">
        <v>3060000</v>
      </c>
      <c r="AC109" s="30">
        <v>1.25</v>
      </c>
      <c r="AD109" s="47">
        <v>4</v>
      </c>
      <c r="AE109" s="47">
        <v>6</v>
      </c>
      <c r="AF109" s="47"/>
    </row>
    <row r="110" spans="1:32">
      <c r="A110" s="11">
        <v>103</v>
      </c>
      <c r="B110" s="46" t="s">
        <v>371</v>
      </c>
      <c r="C110" s="10"/>
      <c r="D110" s="11"/>
      <c r="E110" s="46" t="s">
        <v>15</v>
      </c>
      <c r="F110" s="45"/>
      <c r="G110" s="46" t="s">
        <v>248</v>
      </c>
      <c r="H110" s="20"/>
      <c r="I110" s="17"/>
      <c r="J110" s="17"/>
      <c r="K110" s="17">
        <v>7.62</v>
      </c>
      <c r="L110" s="17"/>
      <c r="M110" s="17"/>
      <c r="N110" s="17"/>
      <c r="O110" s="65"/>
      <c r="P110" s="17"/>
      <c r="Q110" s="33"/>
      <c r="R110" s="34"/>
      <c r="S110" s="34">
        <v>1480000</v>
      </c>
      <c r="T110" s="62">
        <v>5.18</v>
      </c>
      <c r="U110" s="68">
        <v>7670000</v>
      </c>
      <c r="V110" s="11"/>
      <c r="W110" s="62">
        <v>5.18</v>
      </c>
      <c r="X110" s="62"/>
      <c r="Y110" s="62"/>
      <c r="Z110" s="62">
        <v>21</v>
      </c>
      <c r="AA110" s="62">
        <v>0.82</v>
      </c>
      <c r="AB110" s="34">
        <v>829</v>
      </c>
      <c r="AC110" s="30"/>
      <c r="AD110" s="47"/>
      <c r="AE110" s="47"/>
      <c r="AF110" s="47"/>
    </row>
    <row r="111" spans="1:32">
      <c r="A111" s="11">
        <v>104</v>
      </c>
      <c r="B111" s="46" t="s">
        <v>588</v>
      </c>
      <c r="C111" s="10"/>
      <c r="D111" s="11"/>
      <c r="E111" s="46" t="s">
        <v>9</v>
      </c>
      <c r="F111" s="45"/>
      <c r="G111" s="46" t="s">
        <v>248</v>
      </c>
      <c r="H111" s="20"/>
      <c r="I111" s="17"/>
      <c r="J111" s="17"/>
      <c r="K111" s="17">
        <v>21.6</v>
      </c>
      <c r="L111" s="17"/>
      <c r="M111" s="17"/>
      <c r="N111" s="17"/>
      <c r="O111" s="65"/>
      <c r="P111" s="17"/>
      <c r="Q111" s="33"/>
      <c r="R111" s="34"/>
      <c r="S111" s="34">
        <v>493000</v>
      </c>
      <c r="T111" s="62">
        <v>8.5299999999999994</v>
      </c>
      <c r="U111" s="68">
        <v>4210000</v>
      </c>
      <c r="V111" s="11"/>
      <c r="W111" s="62">
        <v>8.5299999999999994</v>
      </c>
      <c r="X111" s="62"/>
      <c r="Y111" s="62"/>
      <c r="Z111" s="62">
        <v>26.2</v>
      </c>
      <c r="AA111" s="62">
        <v>1.79</v>
      </c>
      <c r="AB111" s="34">
        <v>4830</v>
      </c>
      <c r="AC111" s="30"/>
      <c r="AD111" s="47"/>
      <c r="AE111" s="47"/>
      <c r="AF111" s="47"/>
    </row>
    <row r="112" spans="1:32">
      <c r="A112" s="35">
        <v>105</v>
      </c>
      <c r="B112" s="36" t="s">
        <v>589</v>
      </c>
      <c r="C112" s="37"/>
      <c r="D112" s="35"/>
      <c r="E112" s="36" t="s">
        <v>9</v>
      </c>
      <c r="F112" s="38"/>
      <c r="G112" s="36" t="s">
        <v>248</v>
      </c>
      <c r="H112" s="39"/>
      <c r="I112" s="40"/>
      <c r="J112" s="40"/>
      <c r="K112" s="40"/>
      <c r="L112" s="40"/>
      <c r="M112" s="40"/>
      <c r="N112" s="40"/>
      <c r="O112" s="66"/>
      <c r="P112" s="40"/>
      <c r="Q112" s="41"/>
      <c r="R112" s="42"/>
      <c r="S112" s="42">
        <v>222000</v>
      </c>
      <c r="T112" s="63">
        <v>5.18</v>
      </c>
      <c r="U112" s="69">
        <v>1150000</v>
      </c>
      <c r="V112" s="35"/>
      <c r="W112" s="63">
        <v>5.18</v>
      </c>
      <c r="X112" s="63"/>
      <c r="Y112" s="63"/>
      <c r="Z112" s="63">
        <v>16.5</v>
      </c>
      <c r="AA112" s="63">
        <v>1.71</v>
      </c>
      <c r="AB112" s="42"/>
      <c r="AC112" s="43"/>
      <c r="AD112" s="44"/>
      <c r="AE112" s="44"/>
      <c r="AF112" s="44"/>
    </row>
    <row r="113" spans="1:32">
      <c r="A113" s="11">
        <v>106</v>
      </c>
      <c r="B113" s="46" t="s">
        <v>590</v>
      </c>
      <c r="C113" s="10">
        <v>1893</v>
      </c>
      <c r="D113" s="11">
        <v>1969</v>
      </c>
      <c r="E113" s="46" t="s">
        <v>15</v>
      </c>
      <c r="F113" s="45" t="s">
        <v>241</v>
      </c>
      <c r="G113" s="46" t="s">
        <v>255</v>
      </c>
      <c r="H113" s="20">
        <v>13.6</v>
      </c>
      <c r="I113" s="17">
        <v>6.1</v>
      </c>
      <c r="J113" s="17"/>
      <c r="K113" s="17"/>
      <c r="L113" s="17"/>
      <c r="M113" s="17"/>
      <c r="N113" s="17"/>
      <c r="O113" s="65"/>
      <c r="P113" s="17"/>
      <c r="Q113" s="33">
        <v>11500000</v>
      </c>
      <c r="R113" s="34"/>
      <c r="S113" s="34">
        <v>11600000</v>
      </c>
      <c r="T113" s="62">
        <v>12.2</v>
      </c>
      <c r="U113" s="68">
        <v>142000000</v>
      </c>
      <c r="V113" s="4" t="s">
        <v>238</v>
      </c>
      <c r="W113" s="62">
        <v>13.7</v>
      </c>
      <c r="X113" s="62">
        <v>46</v>
      </c>
      <c r="Y113" s="62">
        <v>41</v>
      </c>
      <c r="Z113" s="62">
        <v>35.4</v>
      </c>
      <c r="AA113" s="62">
        <v>0.75</v>
      </c>
      <c r="AB113" s="34">
        <v>14600</v>
      </c>
      <c r="AC113" s="30">
        <v>1.5</v>
      </c>
      <c r="AD113" s="47">
        <v>1.5</v>
      </c>
      <c r="AE113" s="47">
        <v>1.5</v>
      </c>
      <c r="AF113" s="47"/>
    </row>
    <row r="114" spans="1:32">
      <c r="A114" s="11">
        <v>107</v>
      </c>
      <c r="B114" s="46" t="s">
        <v>375</v>
      </c>
      <c r="C114" s="10">
        <v>1956</v>
      </c>
      <c r="D114" s="11">
        <v>1994</v>
      </c>
      <c r="E114" s="46" t="s">
        <v>15</v>
      </c>
      <c r="F114" s="46" t="s">
        <v>376</v>
      </c>
      <c r="G114" s="46" t="s">
        <v>23</v>
      </c>
      <c r="H114" s="20"/>
      <c r="I114" s="17"/>
      <c r="J114" s="17"/>
      <c r="K114" s="17">
        <v>13.2</v>
      </c>
      <c r="L114" s="17"/>
      <c r="M114" s="17"/>
      <c r="N114" s="17"/>
      <c r="O114" s="65"/>
      <c r="P114" s="17"/>
      <c r="Q114" s="33"/>
      <c r="R114" s="34"/>
      <c r="S114" s="34">
        <v>533000</v>
      </c>
      <c r="T114" s="62">
        <v>3.57</v>
      </c>
      <c r="U114" s="68">
        <v>1900000</v>
      </c>
      <c r="V114" s="11"/>
      <c r="W114" s="62">
        <v>3.72</v>
      </c>
      <c r="X114" s="62"/>
      <c r="Y114" s="62"/>
      <c r="Z114" s="62">
        <v>29</v>
      </c>
      <c r="AA114" s="62">
        <v>1.74</v>
      </c>
      <c r="AB114" s="34">
        <v>1420</v>
      </c>
      <c r="AC114" s="30"/>
      <c r="AD114" s="47"/>
      <c r="AE114" s="47"/>
      <c r="AF114" s="47"/>
    </row>
    <row r="115" spans="1:32">
      <c r="A115" s="11">
        <v>108</v>
      </c>
      <c r="B115" s="46" t="s">
        <v>591</v>
      </c>
      <c r="C115" s="10">
        <v>1904</v>
      </c>
      <c r="D115" s="11">
        <v>1912</v>
      </c>
      <c r="E115" s="46" t="s">
        <v>9</v>
      </c>
      <c r="F115" s="46" t="s">
        <v>378</v>
      </c>
      <c r="G115" s="46" t="s">
        <v>296</v>
      </c>
      <c r="H115" s="20">
        <v>7.32</v>
      </c>
      <c r="I115" s="17">
        <v>2.1</v>
      </c>
      <c r="J115" s="17"/>
      <c r="K115" s="17">
        <v>7.76</v>
      </c>
      <c r="L115" s="17">
        <v>1</v>
      </c>
      <c r="M115" s="17">
        <v>1</v>
      </c>
      <c r="N115" s="17">
        <v>133</v>
      </c>
      <c r="O115" s="65"/>
      <c r="P115" s="17"/>
      <c r="Q115" s="33">
        <v>664000</v>
      </c>
      <c r="R115" s="34"/>
      <c r="S115" s="34">
        <v>662000</v>
      </c>
      <c r="T115" s="62">
        <v>6.4</v>
      </c>
      <c r="U115" s="68">
        <v>4240000</v>
      </c>
      <c r="V115" s="4" t="s">
        <v>238</v>
      </c>
      <c r="W115" s="62">
        <v>6.1</v>
      </c>
      <c r="X115" s="62">
        <v>21.3</v>
      </c>
      <c r="Y115" s="62">
        <v>18.3</v>
      </c>
      <c r="Z115" s="62">
        <v>19.8</v>
      </c>
      <c r="AA115" s="62">
        <v>0.2</v>
      </c>
      <c r="AB115" s="34">
        <v>1480</v>
      </c>
      <c r="AC115" s="30"/>
      <c r="AD115" s="47">
        <v>5</v>
      </c>
      <c r="AE115" s="47">
        <v>5</v>
      </c>
      <c r="AF115" s="47">
        <v>5</v>
      </c>
    </row>
  </sheetData>
  <mergeCells count="5">
    <mergeCell ref="H1:N1"/>
    <mergeCell ref="Q1:U1"/>
    <mergeCell ref="V1:AB1"/>
    <mergeCell ref="O1:P1"/>
    <mergeCell ref="AC1:AF1"/>
  </mergeCells>
  <pageMargins left="0.7" right="0.7" top="0.75" bottom="0.75" header="0.3" footer="0.3"/>
  <pageSetup orientation="portrait" verticalDpi="4"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D62D26-0473-45FA-8923-C8992B8275F5}">
  <ds:schemaRefs>
    <ds:schemaRef ds:uri="http://schemas.microsoft.com/office/2006/metadata/properties"/>
    <ds:schemaRef ds:uri="9e497654-a08d-417c-baea-46c0f978694c"/>
    <ds:schemaRef ds:uri="42c1cd4e-77b7-4916-814e-fd5fe3003ee4"/>
    <ds:schemaRef ds:uri="http://schemas.microsoft.com/office/infopath/2007/PartnerControls"/>
  </ds:schemaRefs>
</ds:datastoreItem>
</file>

<file path=customXml/itemProps2.xml><?xml version="1.0" encoding="utf-8"?>
<ds:datastoreItem xmlns:ds="http://schemas.openxmlformats.org/officeDocument/2006/customXml" ds:itemID="{E8303320-3EED-4A70-8BD6-6568A29251A4}"/>
</file>

<file path=customXml/itemProps3.xml><?xml version="1.0" encoding="utf-8"?>
<ds:datastoreItem xmlns:ds="http://schemas.openxmlformats.org/officeDocument/2006/customXml" ds:itemID="{F76BFCA7-31D1-45F7-BD7C-81421D8885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Dam Regression Equations</vt:lpstr>
      <vt:lpstr>References</vt:lpstr>
      <vt:lpstr>Filtered Data &amp; Plots</vt:lpstr>
      <vt:lpstr>Data Sources</vt:lpstr>
      <vt:lpstr>Dam Failure Case Study Data</vt:lpstr>
    </vt:vector>
  </TitlesOfParts>
  <Manager/>
  <Company>USACE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h2edtjal</dc:creator>
  <cp:keywords/>
  <dc:description/>
  <cp:lastModifiedBy>Lewis, C R (Corby) CIV USARMY CEMVP (USA)</cp:lastModifiedBy>
  <cp:revision/>
  <dcterms:created xsi:type="dcterms:W3CDTF">2007-07-13T17:15:46Z</dcterms:created>
  <dcterms:modified xsi:type="dcterms:W3CDTF">2025-12-31T17:56:27Z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ies>
</file>